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661f87b43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อตรวจสอบ" sheetId="2" r:id="R441babd2557e448d"/>
    <x:sheet xmlns:r="http://schemas.openxmlformats.org/officeDocument/2006/relationships" name="ชวนชิม" sheetId="3" r:id="R4d424a7983f4424a"/>
    <x:sheet xmlns:r="http://schemas.openxmlformats.org/officeDocument/2006/relationships" name="C" sheetId="4" r:id="Rc04585d369214e56"/>
    <x:sheet xmlns:r="http://schemas.openxmlformats.org/officeDocument/2006/relationships" name="N" sheetId="5" r:id="Ree73ef8cfdcc46fa"/>
    <x:sheet xmlns:r="http://schemas.openxmlformats.org/officeDocument/2006/relationships" name="S" sheetId="6" r:id="R26c989de380040b6"/>
    <x:sheet xmlns:r="http://schemas.openxmlformats.org/officeDocument/2006/relationships" name="E" sheetId="7" r:id="R849608b457b549b0"/>
  </x:sheets>
</x:workbook>
</file>

<file path=xl/sharedStrings.xml><?xml version="1.0" encoding="utf-8"?>
<x:sst xmlns:x="http://schemas.openxmlformats.org/spreadsheetml/2006/main">
  <x:si>
    <x:t xml:space="preserve">รายการรอตรวจสอบ</x:t>
  </x:si>
  <x:si>
    <x:t xml:space="preserve">รายการที่ไม่สามารถระบุรหัสบูธหรือชนิดน้ำแข็งได้แน่ชัด</x:t>
  </x:si>
  <x:si>
    <x:t xml:space="preserve">ลำดับต้นฉบับ</x:t>
  </x:si>
  <x:si>
    <x:t xml:space="preserve">ข้อความเดิม</x:t>
  </x:si>
  <x:si>
    <x:t xml:space="preserve">รหัสที่จับได้</x:t>
  </x:si>
  <x:si>
    <x:t xml:space="preserve">ชนิดน้ำแข็ง</x:t>
  </x:si>
  <x:si>
    <x:t xml:space="preserve">จำนวน</x:t>
  </x:si>
  <x:si>
    <x:t xml:space="preserve">สิ่งที่ต้องตรวจสอบ</x:t>
  </x:si>
  <x:si>
    <x:t xml:space="preserve">94-ล1</x:t>
  </x:si>
  <x:si>
    <x:t xml:space="preserve">น้ำแข็งหลอดเล็ก</x:t>
  </x:si>
  <x:si>
    <x:t xml:space="preserve">เลขชวนชิมอยู่นอกช่วง 1–64 ตามแปลน</x:t>
  </x:si>
  <x:si>
    <x:t xml:space="preserve">หนองคาย-ล1</x:t>
  </x:si>
  <x:si>
    <x:t xml:space="preserve">ระบุชื่อร้าน แต่ไม่มีรหัสบูธ; โปรดยืนยันตำแหน่ง</x:t>
  </x:si>
  <x:si>
    <x:t xml:space="preserve">44-3</x:t>
  </x:si>
  <x:si>
    <x:t xml:space="preserve">44</x:t>
  </x:si>
  <x:si>
    <x:t xml:space="preserve">ไม่ระบุชนิดน้ำแข็ง; เลข 3 ยังไม่ชัดว่าเป็นจำนวนหรือรหัส</x:t>
  </x:si>
  <x:si>
    <x:t xml:space="preserve">ไก่ชนเลน-บ2</x:t>
  </x:si>
  <x:si>
    <x:t xml:space="preserve">น้ำแข็งบด</x:t>
  </x:si>
  <x:si>
    <x:t xml:space="preserve">ควบ  ตาม-บ1</x:t>
  </x:si>
  <x:si>
    <x:t xml:space="preserve">7-6บ2</x:t>
  </x:si>
  <x:si>
    <x:t xml:space="preserve">ไม่มีอักษรนำหน้ารหัส; โปรดยืนยันตำแหน่ง</x:t>
  </x:si>
</x:sst>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6"/>
      <x:color rgb="FF172554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172554"/>
      <x:name val="Arial"/>
    </x:font>
    <x:font>
      <x:sz val="10"/>
      <x:color rgb="FF1F2937"/>
      <x:name val="Arial"/>
    </x:font>
    <x:font>
      <x:sz val="10"/>
      <x:color rgb="FF000000"/>
      <x:name val="Arial"/>
    </x:font>
    <x:font>
      <x:b/>
      <x:sz val="10"/>
      <x:color rgb="FF111827"/>
      <x:name val="Arial"/>
    </x:font>
    <x:font>
      <x:b/>
      <x:sz val="10"/>
      <x:color rgb="FF000000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  <x:fill>
      <x:patternFill patternType="solid">
        <x:fgColor rgb="FFEFF6FF"/>
      </x:patternFill>
    </x:fill>
    <x:fill>
      <x:patternFill patternType="solid">
        <x:fgColor rgb="FF1E3A8A"/>
      </x:patternFill>
    </x:fill>
    <x:fill>
      <x:patternFill patternType="solid">
        <x:fgColor rgb="FFFF0000"/>
      </x:patternFill>
    </x:fill>
    <x:fill>
      <x:patternFill patternType="solid">
        <x:fgColor rgb="FFFEF3C7"/>
      </x:patternFill>
    </x:fill>
    <x:fill>
      <x:patternFill patternType="solid">
        <x:fgColor rgb="FF1E3A8A"/>
      </x:patternFill>
    </x:fill>
    <x:fill>
      <x:patternFill patternType="solid">
        <x:fgColor rgb="FFFFFBEB"/>
      </x:patternFill>
    </x:fill>
    <x:fill>
      <x:patternFill patternType="solid">
        <x:fgColor rgb="FFEFF6FF"/>
      </x:patternFill>
    </x:fill>
    <x:fill>
      <x:patternFill patternType="solid">
        <x:fgColor rgb="FFFF0000"/>
      </x:patternFill>
    </x:fill>
    <x:fill>
      <x:patternFill patternType="solid">
        <x:fgColor rgb="FF1E3A8A"/>
      </x:patternFill>
    </x:fill>
    <x:fill>
      <x:patternFill patternType="solid">
        <x:fgColor rgb="FFFFFBEB"/>
      </x:patternFill>
    </x:fill>
    <x:fill>
      <x:patternFill patternType="solid">
        <x:fgColor rgb="FFEFF6FF"/>
      </x:patternFill>
    </x:fill>
    <x:fill>
      <x:patternFill patternType="solid">
        <x:fgColor rgb="FFFEF3C7"/>
      </x:patternFill>
    </x:fill>
    <x:fill>
      <x:patternFill patternType="solid">
        <x:fgColor rgb="FFF1F5F9"/>
      </x:patternFill>
    </x:fill>
    <x:fill>
      <x:patternFill patternType="solid">
        <x:fgColor rgb="FF000000"/>
      </x:patternFill>
    </x:fill>
    <x:fill>
      <x:patternFill patternType="solid">
        <x:fgColor rgb="FFFF0000"/>
      </x:patternFill>
    </x:fill>
  </x:fills>
  <x:borders count="1">
    <x:border/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2" borderId="0" xfId="0" applyFont="1" applyFill="1"/>
    <x:xf numFmtId="0" fontId="4" fillId="0" borderId="0" xfId="0" applyFont="1"/>
    <x:xf numFmtId="0" fontId="5" fillId="0" borderId="0" xfId="0" applyFont="1"/>
    <x:xf numFmtId="3" fontId="4" fillId="3" borderId="0" xfId="0" applyNumberFormat="1" applyFont="1" applyFill="1"/>
    <x:xf numFmtId="0" fontId="3" fillId="6" borderId="0" xfId="0" applyFont="1" applyFill="1"/>
    <x:xf numFmtId="0" fontId="0" fillId="0" borderId="0" xfId="0" applyAlignment="1">
      <x:alignment horizontal="center"/>
    </x:xf>
    <x:xf numFmtId="0" fontId="3" fillId="6" borderId="0" xfId="0" applyFont="1" applyFill="1" applyAlignment="1">
      <x:alignment horizontal="center"/>
    </x:xf>
    <x:xf numFmtId="3" fontId="4" fillId="4" borderId="0" xfId="0" applyNumberFormat="1" applyFont="1" applyFill="1" applyAlignment="1">
      <x:alignment horizontal="center"/>
    </x:xf>
    <x:xf numFmtId="3" fontId="4" fillId="5" borderId="0" xfId="0" applyNumberFormat="1" applyFont="1" applyFill="1" applyAlignment="1">
      <x:alignment horizontal="center"/>
    </x:xf>
    <x:xf numFmtId="0" fontId="6" fillId="0" borderId="0" xfId="0" applyFont="1"/>
    <x:xf numFmtId="0" fontId="4" fillId="7" borderId="0" xfId="0" applyFont="1" applyFill="1"/>
    <x:xf numFmtId="3" fontId="4" fillId="7" borderId="0" xfId="0" applyNumberFormat="1" applyFont="1" applyFill="1" applyAlignment="1">
      <x:alignment horizontal="center"/>
    </x:xf>
    <x:xf numFmtId="0" fontId="0" fillId="7" borderId="0" xfId="0" applyFill="1"/>
    <x:xf numFmtId="0" fontId="4" fillId="0" borderId="0" xfId="0" applyFont="1" applyFill="1"/>
    <x:xf numFmtId="3" fontId="4" fillId="0" borderId="0" xfId="0" applyNumberFormat="1" applyFont="1" applyFill="1" applyAlignment="1">
      <x:alignment horizontal="center"/>
    </x:xf>
    <x:xf numFmtId="0" fontId="0" fillId="0" borderId="0" xfId="0" applyFill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horizontal="center"/>
    </x:xf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center"/>
    </x:xf>
    <x:xf numFmtId="3" fontId="4" fillId="8" borderId="0" xfId="0" applyNumberFormat="1" applyFont="1" applyFill="1" applyBorder="1"/>
    <x:xf numFmtId="3" fontId="4" fillId="4" borderId="0" xfId="0" applyNumberFormat="1" applyFont="1" applyFill="1" applyBorder="1" applyAlignment="1">
      <x:alignment horizontal="center"/>
    </x:xf>
    <x:xf numFmtId="3" fontId="4" fillId="5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/>
    <x:xf numFmtId="3" fontId="4" fillId="7" borderId="0" xfId="0" applyNumberFormat="1" applyFont="1" applyFill="1" applyBorder="1" applyAlignment="1">
      <x:alignment horizontal="center"/>
    </x:xf>
    <x:xf numFmtId="3" fontId="4" fillId="10" borderId="0" xfId="0" applyNumberFormat="1" applyFont="1" applyFill="1" applyBorder="1" applyAlignment="1">
      <x:alignment horizontal="center"/>
    </x:xf>
    <x:xf numFmtId="3" fontId="4" fillId="11" borderId="0" xfId="0" applyNumberFormat="1" applyFont="1" applyFill="1" applyBorder="1" applyAlignment="1">
      <x:alignment horizontal="center"/>
    </x:xf>
    <x:xf numFmtId="3" fontId="4" fillId="12" borderId="0" xfId="0" applyNumberFormat="1" applyFont="1" applyFill="1" applyBorder="1" applyAlignment="1">
      <x:alignment horizontal="center"/>
    </x:xf>
    <x:xf numFmtId="3" fontId="7" fillId="1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4" fillId="15" borderId="0" xfId="0" applyNumberFormat="1" applyFont="1" applyFill="1" applyBorder="1"/>
    <x:xf numFmtId="0" fontId="4" fillId="16" borderId="0" xfId="0" applyNumberFormat="1" applyFont="1" applyFill="1" applyBorder="1"/>
    <x:xf numFmtId="0" fontId="4" fillId="17" borderId="0" xfId="0" applyNumberFormat="1" applyFont="1" applyFill="1" applyBorder="1"/>
    <x:xf numFmtId="0" fontId="4" fillId="15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/>
    </x:xf>
    <x:xf numFmtId="0" fontId="4" fillId="17" borderId="0" xfId="0" applyNumberFormat="1" applyFont="1" applyFill="1" applyBorder="1" applyAlignment="1">
      <x:alignment horizontal="center"/>
    </x:xf>
    <x:xf numFmtId="200" fontId="4" fillId="15" borderId="0" xfId="0" applyNumberFormat="1" applyFont="1" applyFill="1" applyBorder="1" applyAlignment="1">
      <x:alignment horizontal="center"/>
    </x:xf>
    <x:xf numFmtId="200" fontId="4" fillId="16" borderId="0" xfId="0" applyNumberFormat="1" applyFont="1" applyFill="1" applyBorder="1" applyAlignment="1">
      <x:alignment horizontal="center"/>
    </x:xf>
    <x:xf numFmtId="200" fontId="4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 applyAlignment="1">
      <x:alignment horizontal="center"/>
    </x:xf>
    <x:xf numFmtId="0" fontId="4" fillId="18" borderId="0" xfId="0" applyNumberFormat="1" applyFont="1" applyFill="1" applyBorder="1"/>
    <x:xf numFmtId="0" fontId="7" fillId="18" borderId="0" xfId="0" applyNumberFormat="1" applyFont="1" applyFill="1" applyBorder="1"/>
    <x:xf numFmtId="0" fontId="9" fillId="18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200" fontId="4" fillId="16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0" xfId="0" applyNumberFormat="1" applyFont="1" applyFill="1" applyBorder="1" applyAlignment="1">
      <x:alignment horizontal="center"/>
    </x:xf>
    <x:xf numFmtId="0" fontId="7" fillId="19" borderId="0" xfId="0" applyNumberFormat="1" applyFont="1" applyFill="1" applyBorder="1"/>
    <x:xf numFmtId="200" fontId="4" fillId="19" borderId="0" xfId="0" applyNumberFormat="1" applyFont="1" applyFill="1" applyBorder="1" applyAlignment="1">
      <x:alignment horizontal="center"/>
    </x:xf>
    <x:xf numFmtId="0" fontId="7" fillId="19" borderId="0" xfId="0" applyNumberFormat="1" applyFont="1" applyFill="1" applyBorder="1" applyAlignment="1">
      <x:alignment horizontal="center"/>
    </x:xf>
    <x:xf numFmtId="200" fontId="7" fillId="19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9">
    <x:dxf/>
    <x:dxf/>
    <x:dxf/>
    <x:dxf/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f6e27cb804e43" /><Relationship Type="http://schemas.openxmlformats.org/officeDocument/2006/relationships/theme" Target="/xl/theme/theme1.xml" Id="R0874dfc7749b4625" /><Relationship Type="http://schemas.openxmlformats.org/officeDocument/2006/relationships/sharedStrings" Target="/xl/sharedStrings.xml" Id="R6fc29619d30e418c" /><Relationship Type="http://schemas.openxmlformats.org/officeDocument/2006/relationships/worksheet" Target="/xl/worksheets/sheet1.xml" Id="R441babd2557e448d" /><Relationship Type="http://schemas.openxmlformats.org/officeDocument/2006/relationships/worksheet" Target="/xl/worksheets/sheet2.xml" Id="R4d424a7983f4424a" /><Relationship Type="http://schemas.openxmlformats.org/officeDocument/2006/relationships/worksheet" Target="/xl/worksheets/sheet3.xml" Id="Rc04585d369214e56" /><Relationship Type="http://schemas.openxmlformats.org/officeDocument/2006/relationships/worksheet" Target="/xl/worksheets/sheet4.xml" Id="Ree73ef8cfdcc46fa" /><Relationship Type="http://schemas.openxmlformats.org/officeDocument/2006/relationships/worksheet" Target="/xl/worksheets/sheet5.xml" Id="R26c989de380040b6" /><Relationship Type="http://schemas.openxmlformats.org/officeDocument/2006/relationships/worksheet" Target="/xl/worksheets/sheet6.xml" Id="R849608b457b549b0" /></Relationships>
</file>

<file path=xl/tables/table1.xml><?xml version="1.0" encoding="utf-8"?>
<x:table xmlns:x="http://schemas.openxmlformats.org/spreadsheetml/2006/main" id="2" name="Table6x9" displayName="Table6x9" ref="A4:F13" totalsRowShown="0">
  <x:tableColumns count="6">
    <x:tableColumn id="1" name="ลำดับต้นฉบับ"/>
    <x:tableColumn id="2" name="ข้อความเดิม"/>
    <x:tableColumn id="3" name="รหัสที่จับได้"/>
    <x:tableColumn id="4" name="ชนิดน้ำแข็ง"/>
    <x:tableColumn id="5" name="จำนวน"/>
    <x:tableColumn id="6" name="สิ่งที่ต้องตรวจสอ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BoothDailyTaste" displayName="BoothDailyTaste" ref="A4:N68" headerRowCount="1" totalsRowCount="0" totalsRowShown="0">
  <x:tableColumns count="14">
    <x:tableColumn id="1" name="รหัส"/>
    <x:tableColumn id="2" name="โซน"/>
    <x:tableColumn id="3" name="ถัง"/>
    <x:tableColumn id="4" name="เล็ก"/>
    <x:tableColumn id="5" name="บด"/>
    <x:tableColumn id="6" name="คั่น"/>
    <x:tableColumn id="7" name="ถัง"/>
    <x:tableColumn id="8" name="เล็ก"/>
    <x:tableColumn id="9" name="บด"/>
    <x:tableColumn id="10" name="รวมเงิน (บาท)"/>
    <x:tableColumn id="11" name="ยอดชำระ"/>
    <x:tableColumn id="12" name="ยอดค้าง"/>
    <x:tableColumn id="13" name="สถานะ"/>
    <x:tableColumn id="14" name="หมายเหต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BoothDailyC" displayName="BoothDailyC" ref="A4:N154" headerRowCount="1" totalsRowCount="0" totalsRowShown="0">
  <x:tableColumns count="14">
    <x:tableColumn id="1" name="รหัส"/>
    <x:tableColumn id="2" name="โซน"/>
    <x:tableColumn id="3" name="ถัง"/>
    <x:tableColumn id="4" name="เล็ก"/>
    <x:tableColumn id="5" name="บด"/>
    <x:tableColumn id="6" name="คั่น"/>
    <x:tableColumn id="7" name="ถัง"/>
    <x:tableColumn id="8" name="เล็ก"/>
    <x:tableColumn id="9" name="บด"/>
    <x:tableColumn id="10" name="รวมเงิน (บาท)"/>
    <x:tableColumn id="11" name="ยอดชำระ"/>
    <x:tableColumn id="12" name="ยอดค้าง"/>
    <x:tableColumn id="13" name="สถานะ"/>
    <x:tableColumn id="14" name="หมายเหต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0" name="BoothDailyN" displayName="BoothDailyN" ref="A4:N106" headerRowCount="1" totalsRowCount="0" totalsRowShown="0">
  <x:tableColumns count="14">
    <x:tableColumn id="1" name="รหัส"/>
    <x:tableColumn id="2" name="โซน"/>
    <x:tableColumn id="3" name="ถัง"/>
    <x:tableColumn id="4" name="เล็ก"/>
    <x:tableColumn id="5" name="บด"/>
    <x:tableColumn id="6" name="คั่น"/>
    <x:tableColumn id="7" name="ถัง"/>
    <x:tableColumn id="8" name="เล็ก"/>
    <x:tableColumn id="9" name="บด"/>
    <x:tableColumn id="10" name="รวมเงิน (บาท)"/>
    <x:tableColumn id="11" name="ยอดชำระ"/>
    <x:tableColumn id="12" name="ยอดค้าง"/>
    <x:tableColumn id="13" name="สถานะ"/>
    <x:tableColumn id="14" name="หมายเหต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1" name="BoothDailyS" displayName="BoothDailyS" ref="A4:N88" headerRowCount="1" totalsRowCount="0" totalsRowShown="0">
  <x:tableColumns count="14">
    <x:tableColumn id="1" name="รหัส"/>
    <x:tableColumn id="2" name="โซน"/>
    <x:tableColumn id="3" name="ถัง"/>
    <x:tableColumn id="4" name="เล็ก"/>
    <x:tableColumn id="5" name="บด"/>
    <x:tableColumn id="6" name="คั่น"/>
    <x:tableColumn id="7" name="ถัง"/>
    <x:tableColumn id="8" name="เล็ก"/>
    <x:tableColumn id="9" name="บด"/>
    <x:tableColumn id="10" name="รวมเงิน (บาท)"/>
    <x:tableColumn id="11" name="ยอดชำระ"/>
    <x:tableColumn id="12" name="ยอดค้าง"/>
    <x:tableColumn id="13" name="สถานะ"/>
    <x:tableColumn id="14" name="หมายเหต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2" name="BoothDailyE" displayName="BoothDailyE" ref="A4:N124" headerRowCount="1" totalsRowCount="0" totalsRowShown="0">
  <x:tableColumns count="14">
    <x:tableColumn id="1" name="รหัส"/>
    <x:tableColumn id="2" name="โซน"/>
    <x:tableColumn id="3" name="ถัง"/>
    <x:tableColumn id="4" name="เล็ก"/>
    <x:tableColumn id="5" name="บด"/>
    <x:tableColumn id="6" name="คั่น"/>
    <x:tableColumn id="7" name="ถัง"/>
    <x:tableColumn id="8" name="เล็ก"/>
    <x:tableColumn id="9" name="บด"/>
    <x:tableColumn id="10" name="รวมเงิน (บาท)"/>
    <x:tableColumn id="11" name="ยอดชำระ"/>
    <x:tableColumn id="12" name="ยอดค้าง"/>
    <x:tableColumn id="13" name="สถานะ"/>
    <x:tableColumn id="14" name="หมายเหต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9515daedf44d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f2c5990aed43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c2c6f7e629f4b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e7a12ca07104b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3f1ce1b58ca42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91f239e7e4341e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3203125" defaultRowHeight="14"/>
  <x:cols>
    <x:col min="1" max="1" width="16" customWidth="1"/>
    <x:col min="2" max="2" width="25" customWidth="1"/>
    <x:col min="3" max="3" width="17" customWidth="1"/>
    <x:col min="4" max="4" width="20" customWidth="1"/>
    <x:col min="5" max="5" width="10" customWidth="1"/>
    <x:col min="6" max="6" width="65" customWidth="1"/>
  </x:cols>
  <x:sheetData>
    <x:row r="1" ht="20">
      <x:c r="A1" s="1" t="s">
        <x:v>0</x:v>
      </x:c>
    </x:row>
    <x:row r="2">
      <x:c r="A2" s="2" t="s">
        <x:v>1</x:v>
      </x:c>
    </x:row>
    <x:row r="4" ht="25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</x:row>
    <x:row r="5" ht="21" customHeight="1">
      <x:c r="A5" s="4">
        <x:v>6</x:v>
      </x:c>
      <x:c r="B5" s="4" t="s">
        <x:v>8</x:v>
      </x:c>
      <x:c r="C5" s="4"/>
      <x:c r="D5" s="4" t="s">
        <x:v>9</x:v>
      </x:c>
      <x:c r="E5" s="4">
        <x:v>1</x:v>
      </x:c>
      <x:c r="F5" s="4" t="s">
        <x:v>10</x:v>
      </x:c>
    </x:row>
    <x:row r="6" ht="21" customHeight="1">
      <x:c r="A6" s="4">
        <x:v>7</x:v>
      </x:c>
      <x:c r="B6" s="4" t="s">
        <x:v>11</x:v>
      </x:c>
      <x:c r="C6" s="4"/>
      <x:c r="D6" s="4" t="s">
        <x:v>9</x:v>
      </x:c>
      <x:c r="E6" s="4">
        <x:v>1</x:v>
      </x:c>
      <x:c r="F6" s="4" t="s">
        <x:v>12</x:v>
      </x:c>
    </x:row>
    <x:row r="7" ht="21" customHeight="1">
      <x:c r="A7" s="4">
        <x:v>11</x:v>
      </x:c>
      <x:c r="B7" s="4" t="s">
        <x:v>13</x:v>
      </x:c>
      <x:c r="C7" s="4" t="s">
        <x:v>14</x:v>
      </x:c>
      <x:c r="D7" s="4"/>
      <x:c r="E7" s="4"/>
      <x:c r="F7" s="4" t="s">
        <x:v>15</x:v>
      </x:c>
    </x:row>
    <x:row r="8" ht="21" customHeight="1">
      <x:c r="A8" s="4"/>
      <x:c r="B8" s="4"/>
      <x:c r="C8" s="4"/>
      <x:c r="D8" s="4"/>
      <x:c r="E8" s="4"/>
      <x:c r="F8" s="4"/>
    </x:row>
    <x:row r="9" ht="21" customHeight="1">
      <x:c r="A9" s="4">
        <x:v>16</x:v>
      </x:c>
      <x:c r="B9" s="4" t="s">
        <x:v>16</x:v>
      </x:c>
      <x:c r="C9" s="4"/>
      <x:c r="D9" s="4" t="s">
        <x:v>17</x:v>
      </x:c>
      <x:c r="E9" s="4">
        <x:v>2</x:v>
      </x:c>
      <x:c r="F9" s="4" t="s">
        <x:v>12</x:v>
      </x:c>
    </x:row>
    <x:row r="10" ht="21" customHeight="1">
      <x:c r="A10" s="4">
        <x:v>17</x:v>
      </x:c>
      <x:c r="B10" s="4" t="s">
        <x:v>18</x:v>
      </x:c>
      <x:c r="C10" s="4"/>
      <x:c r="D10" s="4" t="s">
        <x:v>17</x:v>
      </x:c>
      <x:c r="E10" s="4">
        <x:v>1</x:v>
      </x:c>
      <x:c r="F10" s="4" t="s">
        <x:v>12</x:v>
      </x:c>
    </x:row>
    <x:row r="11" ht="21" customHeight="1">
      <x:c r="A11" s="4"/>
      <x:c r="B11" s="4"/>
      <x:c r="C11" s="4"/>
      <x:c r="D11" s="4"/>
      <x:c r="E11" s="4"/>
      <x:c r="F11" s="4"/>
    </x:row>
    <x:row r="12" ht="21" customHeight="1">
      <x:c r="A12" s="4"/>
      <x:c r="B12" s="4"/>
      <x:c r="C12" s="4"/>
      <x:c r="D12" s="4"/>
      <x:c r="E12" s="4"/>
      <x:c r="F12" s="4"/>
    </x:row>
    <x:row r="13" ht="21" customHeight="1">
      <x:c r="A13" s="4">
        <x:v>27</x:v>
      </x:c>
      <x:c r="B13" s="4" t="s">
        <x:v>19</x:v>
      </x:c>
      <x:c r="C13" s="4"/>
      <x:c r="D13" s="4" t="s">
        <x:v>17</x:v>
      </x:c>
      <x:c r="E13" s="4">
        <x:v>2</x:v>
      </x:c>
      <x:c r="F13" s="4" t="s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d79515daedf44d7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3203125" defaultRowHeight="14"/>
  <x:cols>
    <x:col min="1" max="1" width="15" hidden="0" customWidth="1"/>
    <x:col min="2" max="2" width="28" hidden="0" customWidth="1"/>
    <x:col min="3" max="5" width="10" style="8" customWidth="1"/>
    <x:col min="6" max="6" width="3" style="8" hidden="0" customWidth="1"/>
    <x:col min="7" max="7" width="9" hidden="0" customWidth="1"/>
    <x:col min="9" max="9" width="9" hidden="0" customWidth="1"/>
    <x:col min="10" max="10" width="17" hidden="0" customWidth="1"/>
    <x:col min="3" max="3" width="9" hidden="0" customWidth="1"/>
    <x:col min="4" max="4" width="9" hidden="0" customWidth="1"/>
    <x:col min="5" max="5" width="9" hidden="0" customWidth="1"/>
    <x:col min="8" max="8" width="9" hidden="0" customWidth="1"/>
    <x:col min="11" max="11" width="14" hidden="0" customWidth="1"/>
    <x:col min="12" max="12" width="14" hidden="0" customWidth="1"/>
    <x:col min="13" max="13" width="16" hidden="0" customWidth="1"/>
    <x:col min="14" max="14" width="42" hidden="0" customWidth="1"/>
    <x:col min="16" max="16" width="24" hidden="0" customWidth="1"/>
    <x:col min="17" max="17" width="12" hidden="0" customWidth="1"/>
  </x:cols>
  <x:sheetData>
    <x:row r="1" ht="20" customHeight="1">
      <x:c r="A1" s="19" t="str">
        <x:v>รหัสบูธ</x:v>
      </x:c>
      <x:c r="I1"/>
      <x:c r="P1" s="21" t="str">
        <x:v>ราคาต่อหน่วย</x:v>
      </x:c>
      <x:c r="Q1"/>
    </x:row>
    <x:row r="2">
      <x:c r="A2" s="20" t="str">
        <x:v>แปลน QD อัพเดท 18-9-69.pdf • รหัสบูธ 456 รายการ และชวนชิม 64 คูหา</x:v>
      </x:c>
      <x:c r="I2"/>
      <x:c r="J2"/>
      <x:c r="P2" s="22" t="str">
        <x:v>ค่าเช่าถัง (บาท)</x:v>
      </x:c>
      <x:c r="Q2" s="69" t="n">
        <x:v>100</x:v>
      </x:c>
    </x:row>
    <x:row r="3" ht="24" customHeight="1">
      <x:c r="C3" s="47" t="str">
        <x:v>ยอดวันที่ 27/09/69</x:v>
      </x:c>
      <x:c r="D3" s="47"/>
      <x:c r="E3" s="47"/>
      <x:c r="F3" s="66"/>
      <x:c r="G3" s="47" t="str">
        <x:v>ยอดวันที่ 28/09/69</x:v>
      </x:c>
      <x:c r="H3" s="47"/>
      <x:c r="I3" s="47"/>
      <x:c r="J3"/>
      <x:c r="P3" s="22" t="str">
        <x:v>น้ำแข็ง/กระสอบ (บาท)</x:v>
      </x:c>
      <x:c r="Q3" s="69" t="n">
        <x:v>60</x:v>
      </x:c>
    </x:row>
    <x:row r="4" ht="25" customHeight="1">
      <x:c r="A4" s="49" t="str">
        <x:v>รหัส</x:v>
      </x:c>
      <x:c r="B4" s="49" t="str">
        <x:v>โซน</x:v>
      </x:c>
      <x:c r="C4" s="50" t="str">
        <x:v>ถัง</x:v>
      </x:c>
      <x:c r="D4" s="50" t="str">
        <x:v>เล็ก</x:v>
      </x:c>
      <x:c r="E4" s="50" t="str">
        <x:v>บด</x:v>
      </x:c>
      <x:c r="F4" s="67" t="str">
        <x:v>คั่น</x:v>
      </x:c>
      <x:c r="G4" s="50" t="str">
        <x:v>ถัง</x:v>
      </x:c>
      <x:c r="H4" s="50" t="str">
        <x:v>เล็ก</x:v>
      </x:c>
      <x:c r="I4" s="50" t="str">
        <x:v>บด</x:v>
      </x:c>
      <x:c r="J4" s="50" t="str">
        <x:v>รวมเงิน (บาท)</x:v>
      </x:c>
      <x:c r="K4" s="50" t="str">
        <x:v>ยอดชำระ</x:v>
      </x:c>
      <x:c r="L4" s="50" t="str">
        <x:v>ยอดค้าง</x:v>
      </x:c>
      <x:c r="M4" s="50" t="str">
        <x:v>สถานะ</x:v>
      </x:c>
      <x:c r="N4" s="49" t="str">
        <x:v>หมายเหตุ</x:v>
      </x:c>
    </x:row>
    <x:row r="5" ht="21" customHeight="1">
      <x:c r="A5" s="22" t="str">
        <x:v>1</x:v>
      </x:c>
      <x:c r="B5" s="22" t="str">
        <x:v>ชวนชิม</x:v>
      </x:c>
      <x:c r="C5" s="52" t="n">
        <x:v>1</x:v>
      </x:c>
      <x:c r="D5" s="52" t="n">
        <x:v>6</x:v>
      </x:c>
      <x:c r="E5" s="52"/>
      <x:c r="F5" s="66">
        <x:f t="shared" ref="F5:F68" si="0">IF(COUNTA(C5:E5)=0,"",C5*$J$2+(D5+E5)*$J$3)</x:f>
      </x:c>
      <x:c r="G5" s="53"/>
      <x:c r="H5" s="53"/>
      <x:c r="I5" s="53"/>
      <x:c r="J5" s="60" t="n">
        <x:f>IF(COUNTA(C5:E5,G5:I5)=0,"",C5*$Q$2+(D5+E5)*$Q$3+G5*$Q$2+(H5+I5)*$Q$3)</x:f>
        <x:v>460</x:v>
      </x:c>
      <x:c r="K5" s="61" t="n">
        <x:v>0</x:v>
      </x:c>
      <x:c r="L5" s="62" t="n">
        <x:f>IF(J5="","",MAX(J5-IF(K5="",0,K5),0))</x:f>
        <x:v>460</x:v>
      </x:c>
      <x:c r="M5" s="59" t="str">
        <x:f>IF(J5="","",IF(K5&gt;=J5,"จ่ายแล้ว",IF(K5&gt;0,"จ่ายบางส่วน","ยังไม่ได้จ่าย")))</x:f>
        <x:v>ยังไม่ได้จ่าย</x:v>
      </x:c>
      <x:c r="N5" s="22" t="str">
        <x:v>สด</x:v>
      </x:c>
    </x:row>
    <x:row r="6" ht="21" customHeight="1">
      <x:c r="A6" s="22" t="str">
        <x:v>2</x:v>
      </x:c>
      <x:c r="B6" s="22" t="str">
        <x:v>ชวนชิม</x:v>
      </x:c>
      <x:c r="C6" s="52"/>
      <x:c r="D6" s="52"/>
      <x:c r="E6" s="52"/>
      <x:c r="F6" s="66">
        <x:f t="shared" si="0"/>
      </x:c>
      <x:c r="G6" s="53"/>
      <x:c r="H6" s="53"/>
      <x:c r="I6" s="53"/>
      <x:c r="J6" s="60" t="str">
        <x:f>IF(COUNTA(C6:E6,G6:I6)=0,"",C6*$Q$2+(D6+E6)*$Q$3+G6*$Q$2+(H6+I6)*$Q$3)</x:f>
      </x:c>
      <x:c r="K6" s="61"/>
      <x:c r="L6" s="62" t="str">
        <x:f>IF(J6="","",MAX(J6-IF(K6="",0,K6),0))</x:f>
      </x:c>
      <x:c r="M6" s="59" t="str">
        <x:f>IF(J6="","",IF(K6&gt;=J6,"จ่ายแล้ว",IF(K6&gt;0,"จ่ายบางส่วน","ยังไม่ได้จ่าย")))</x:f>
      </x:c>
      <x:c r="N6" s="22"/>
    </x:row>
    <x:row r="7" ht="21" customHeight="1">
      <x:c r="A7" s="22" t="str">
        <x:v>3</x:v>
      </x:c>
      <x:c r="B7" s="22" t="str">
        <x:v>ชวนชิม</x:v>
      </x:c>
      <x:c r="C7" s="52"/>
      <x:c r="D7" s="52"/>
      <x:c r="E7" s="52"/>
      <x:c r="F7" s="66">
        <x:f t="shared" si="0"/>
      </x:c>
      <x:c r="G7" s="53"/>
      <x:c r="H7" s="53"/>
      <x:c r="I7" s="53"/>
      <x:c r="J7" s="60" t="str">
        <x:f>IF(COUNTA(C7:E7,G7:I7)=0,"",C7*$Q$2+(D7+E7)*$Q$3+G7*$Q$2+(H7+I7)*$Q$3)</x:f>
      </x:c>
      <x:c r="K7" s="61"/>
      <x:c r="L7" s="62" t="str">
        <x:f>IF(J7="","",MAX(J7-IF(K7="",0,K7),0))</x:f>
      </x:c>
      <x:c r="M7" s="59" t="str">
        <x:f>IF(J7="","",IF(K7&gt;=J7,"จ่ายแล้ว",IF(K7&gt;0,"จ่ายบางส่วน","ยังไม่ได้จ่าย")))</x:f>
      </x:c>
      <x:c r="N7" s="22"/>
    </x:row>
    <x:row r="8" ht="21" customHeight="1">
      <x:c r="A8" s="22" t="str">
        <x:v>4</x:v>
      </x:c>
      <x:c r="B8" s="22" t="str">
        <x:v>ชวนชิม</x:v>
      </x:c>
      <x:c r="C8" s="52"/>
      <x:c r="D8" s="52"/>
      <x:c r="E8" s="52"/>
      <x:c r="F8" s="66">
        <x:f t="shared" si="0"/>
      </x:c>
      <x:c r="G8" s="53"/>
      <x:c r="H8" s="53"/>
      <x:c r="I8" s="53"/>
      <x:c r="J8" s="60" t="str">
        <x:f>IF(COUNTA(C8:E8,G8:I8)=0,"",C8*$Q$2+(D8+E8)*$Q$3+G8*$Q$2+(H8+I8)*$Q$3)</x:f>
      </x:c>
      <x:c r="K8" s="61"/>
      <x:c r="L8" s="62" t="str">
        <x:f>IF(J8="","",MAX(J8-IF(K8="",0,K8),0))</x:f>
      </x:c>
      <x:c r="M8" s="59" t="str">
        <x:f>IF(J8="","",IF(K8&gt;=J8,"จ่ายแล้ว",IF(K8&gt;0,"จ่ายบางส่วน","ยังไม่ได้จ่าย")))</x:f>
      </x:c>
      <x:c r="N8" s="22"/>
    </x:row>
    <x:row r="9" ht="21" customHeight="1">
      <x:c r="A9" s="22" t="str">
        <x:v>5</x:v>
      </x:c>
      <x:c r="B9" s="22" t="str">
        <x:v>ชวนชิม</x:v>
      </x:c>
      <x:c r="C9" s="52"/>
      <x:c r="D9" s="52"/>
      <x:c r="E9" s="52"/>
      <x:c r="F9" s="66">
        <x:f t="shared" si="0"/>
      </x:c>
      <x:c r="G9" s="53"/>
      <x:c r="H9" s="53"/>
      <x:c r="I9" s="53"/>
      <x:c r="J9" s="60" t="str">
        <x:f>IF(COUNTA(C9:E9,G9:I9)=0,"",C9*$Q$2+(D9+E9)*$Q$3+G9*$Q$2+(H9+I9)*$Q$3)</x:f>
      </x:c>
      <x:c r="K9" s="61"/>
      <x:c r="L9" s="62" t="str">
        <x:f>IF(J9="","",MAX(J9-IF(K9="",0,K9),0))</x:f>
      </x:c>
      <x:c r="M9" s="59" t="str">
        <x:f>IF(J9="","",IF(K9&gt;=J9,"จ่ายแล้ว",IF(K9&gt;0,"จ่ายบางส่วน","ยังไม่ได้จ่าย")))</x:f>
      </x:c>
      <x:c r="N9" s="22"/>
    </x:row>
    <x:row r="10" ht="21" customHeight="1">
      <x:c r="A10" s="22" t="str">
        <x:v>6</x:v>
      </x:c>
      <x:c r="B10" s="22" t="str">
        <x:v>ชวนชิม</x:v>
      </x:c>
      <x:c r="C10" s="52"/>
      <x:c r="D10" s="52"/>
      <x:c r="E10" s="52"/>
      <x:c r="F10" s="66">
        <x:f t="shared" si="0"/>
      </x:c>
      <x:c r="G10" s="53"/>
      <x:c r="H10" s="53"/>
      <x:c r="I10" s="53"/>
      <x:c r="J10" s="60" t="str">
        <x:f>IF(COUNTA(C10:E10,G10:I10)=0,"",C10*$Q$2+(D10+E10)*$Q$3+G10*$Q$2+(H10+I10)*$Q$3)</x:f>
      </x:c>
      <x:c r="K10" s="61"/>
      <x:c r="L10" s="62" t="str">
        <x:f>IF(J10="","",MAX(J10-IF(K10="",0,K10),0))</x:f>
      </x:c>
      <x:c r="M10" s="59" t="str">
        <x:f>IF(J10="","",IF(K10&gt;=J10,"จ่ายแล้ว",IF(K10&gt;0,"จ่ายบางส่วน","ยังไม่ได้จ่าย")))</x:f>
      </x:c>
      <x:c r="N10" s="22"/>
    </x:row>
    <x:row r="11" ht="21" customHeight="1">
      <x:c r="A11" s="22" t="str">
        <x:v>7</x:v>
      </x:c>
      <x:c r="B11" s="22" t="str">
        <x:v>ชวนชิม</x:v>
      </x:c>
      <x:c r="C11" s="52"/>
      <x:c r="D11" s="52" t="n">
        <x:v>1</x:v>
      </x:c>
      <x:c r="E11" s="52"/>
      <x:c r="F11" s="66">
        <x:f t="shared" si="0"/>
      </x:c>
      <x:c r="G11" s="53"/>
      <x:c r="H11" s="53"/>
      <x:c r="I11" s="53"/>
      <x:c r="J11" s="60" t="n">
        <x:f>IF(COUNTA(C11:E11,G11:I11)=0,"",C11*$Q$2+(D11+E11)*$Q$3+G11*$Q$2+(H11+I11)*$Q$3)</x:f>
        <x:v>60</x:v>
      </x:c>
      <x:c r="K11" s="61" t="n">
        <x:v>0</x:v>
      </x:c>
      <x:c r="L11" s="62" t="n">
        <x:f>IF(J11="","",MAX(J11-IF(K11="",0,K11),0))</x:f>
        <x:v>60</x:v>
      </x:c>
      <x:c r="M11" s="59" t="str">
        <x:f>IF(J11="","",IF(K11&gt;=J11,"จ่ายแล้ว",IF(K11&gt;0,"จ่ายบางส่วน","ยังไม่ได้จ่าย")))</x:f>
        <x:v>ยังไม่ได้จ่าย</x:v>
      </x:c>
      <x:c r="N11" s="22"/>
    </x:row>
    <x:row r="12" ht="21" customHeight="1">
      <x:c r="A12" s="22" t="str">
        <x:v>8</x:v>
      </x:c>
      <x:c r="B12" s="22" t="str">
        <x:v>ชวนชิม</x:v>
      </x:c>
      <x:c r="C12" s="52"/>
      <x:c r="D12" s="52"/>
      <x:c r="E12" s="52"/>
      <x:c r="F12" s="66">
        <x:f t="shared" si="0"/>
      </x:c>
      <x:c r="G12" s="53"/>
      <x:c r="H12" s="53"/>
      <x:c r="I12" s="53"/>
      <x:c r="J12" s="60" t="str">
        <x:f>IF(COUNTA(C12:E12,G12:I12)=0,"",C12*$Q$2+(D12+E12)*$Q$3+G12*$Q$2+(H12+I12)*$Q$3)</x:f>
      </x:c>
      <x:c r="K12" s="61"/>
      <x:c r="L12" s="62" t="str">
        <x:f>IF(J12="","",MAX(J12-IF(K12="",0,K12),0))</x:f>
      </x:c>
      <x:c r="M12" s="59" t="str">
        <x:f>IF(J12="","",IF(K12&gt;=J12,"จ่ายแล้ว",IF(K12&gt;0,"จ่ายบางส่วน","ยังไม่ได้จ่าย")))</x:f>
      </x:c>
      <x:c r="N12" s="22"/>
    </x:row>
    <x:row r="13" s="15" customFormat="1" ht="21" customHeight="1">
      <x:c r="A13" s="72" t="str">
        <x:v>9</x:v>
      </x:c>
      <x:c r="B13" s="72" t="str">
        <x:v>ชวนชิม</x:v>
      </x:c>
      <x:c r="C13" s="74"/>
      <x:c r="D13" s="74" t="n">
        <x:v>3</x:v>
      </x:c>
      <x:c r="E13" s="74"/>
      <x:c r="F13" s="66">
        <x:f t="shared" si="0"/>
      </x:c>
      <x:c r="G13" s="74"/>
      <x:c r="H13" s="74"/>
      <x:c r="I13" s="74"/>
      <x:c r="J13" s="75" t="n">
        <x:f>IF(COUNTA(C13:E13,G13:I13)=0,"",C13*$Q$2+(D13+E13)*$Q$3+G13*$Q$2+(H13+I13)*$Q$3)</x:f>
        <x:v>180</x:v>
      </x:c>
      <x:c r="K13" s="75" t="n">
        <x:v>0</x:v>
      </x:c>
      <x:c r="L13" s="75" t="n">
        <x:f>IF(J13="","",MAX(J13-IF(K13="",0,K13),0))</x:f>
        <x:v>180</x:v>
      </x:c>
      <x:c r="M13" s="74" t="str">
        <x:f>IF(J13="","",IF(K13&gt;=J13,"จ่ายแล้ว",IF(K13&gt;0,"จ่ายบางส่วน","ยังไม่ได้จ่าย")))</x:f>
        <x:v>ยังไม่ได้จ่าย</x:v>
      </x:c>
      <x:c r="N13" s="72" t="str">
        <x:v>สด ของวันอาทิต 1</x:v>
      </x:c>
    </x:row>
    <x:row r="14" ht="21" customHeight="1">
      <x:c r="A14" s="22" t="str">
        <x:v>10</x:v>
      </x:c>
      <x:c r="B14" s="22" t="str">
        <x:v>ชวนชิม</x:v>
      </x:c>
      <x:c r="C14" s="52"/>
      <x:c r="D14" s="52"/>
      <x:c r="E14" s="52" t="n">
        <x:v>4</x:v>
      </x:c>
      <x:c r="F14" s="66">
        <x:f t="shared" si="0"/>
      </x:c>
      <x:c r="G14" s="53"/>
      <x:c r="H14" s="53"/>
      <x:c r="I14" s="53"/>
      <x:c r="J14" s="60" t="n">
        <x:f>IF(COUNTA(C14:E14,G14:I14)=0,"",C14*$Q$2+(D14+E14)*$Q$3+G14*$Q$2+(H14+I14)*$Q$3)</x:f>
        <x:v>240</x:v>
      </x:c>
      <x:c r="K14" s="61" t="n">
        <x:v>0</x:v>
      </x:c>
      <x:c r="L14" s="62" t="n">
        <x:f>IF(J14="","",MAX(J14-IF(K14="",0,K14),0))</x:f>
        <x:v>240</x:v>
      </x:c>
      <x:c r="M14" s="59" t="str">
        <x:f>IF(J14="","",IF(K14&gt;=J14,"จ่ายแล้ว",IF(K14&gt;0,"จ่ายบางส่วน","ยังไม่ได้จ่าย")))</x:f>
        <x:v>ยังไม่ได้จ่าย</x:v>
      </x:c>
      <x:c r="N14" s="22"/>
    </x:row>
    <x:row r="15" ht="21" customHeight="1">
      <x:c r="A15" s="22" t="str">
        <x:v>11</x:v>
      </x:c>
      <x:c r="B15" s="22" t="str">
        <x:v>ชวนชิม อู๊ดไก่บ้านย่างเขาสวนกวาง</x:v>
      </x:c>
      <x:c r="C15" s="52" t="n">
        <x:v>3</x:v>
      </x:c>
      <x:c r="D15" s="52" t="n">
        <x:v>7</x:v>
      </x:c>
      <x:c r="E15" s="52" t="n">
        <x:v>1</x:v>
      </x:c>
      <x:c r="F15" s="66">
        <x:f t="shared" si="0"/>
      </x:c>
      <x:c r="G15" s="53"/>
      <x:c r="H15" s="53"/>
      <x:c r="I15" s="53"/>
      <x:c r="J15" s="60" t="n">
        <x:f>IF(COUNTA(C15:E15,G15:I15)=0,"",C15*$Q$2+(D15+E15)*$Q$3+G15*$Q$2+(H15+I15)*$Q$3)</x:f>
        <x:v>780</x:v>
      </x:c>
      <x:c r="K15" s="61" t="n">
        <x:v>0</x:v>
      </x:c>
      <x:c r="L15" s="62" t="n">
        <x:f>IF(J15="","",MAX(J15-IF(K15="",0,K15),0))</x:f>
        <x:v>780</x:v>
      </x:c>
      <x:c r="M15" s="59" t="str">
        <x:f>IF(J15="","",IF(K15&gt;=J15,"จ่ายแล้ว",IF(K15&gt;0,"จ่ายบางส่วน","ยังไม่ได้จ่าย")))</x:f>
        <x:v>ยังไม่ได้จ่าย</x:v>
      </x:c>
      <x:c r="N15" s="22"/>
    </x:row>
    <x:row r="16" ht="21" customHeight="1">
      <x:c r="A16" s="22" t="str">
        <x:v>12</x:v>
      </x:c>
      <x:c r="B16" s="22" t="str">
        <x:v>ชวนชิม</x:v>
      </x:c>
      <x:c r="C16" s="52"/>
      <x:c r="D16" s="52"/>
      <x:c r="E16" s="52"/>
      <x:c r="F16" s="66">
        <x:f t="shared" si="0"/>
      </x:c>
      <x:c r="G16" s="53"/>
      <x:c r="H16" s="53"/>
      <x:c r="I16" s="53"/>
      <x:c r="J16" s="60" t="str">
        <x:f>IF(COUNTA(C16:E16,G16:I16)=0,"",C16*$Q$2+(D16+E16)*$Q$3+G16*$Q$2+(H16+I16)*$Q$3)</x:f>
      </x:c>
      <x:c r="K16" s="61"/>
      <x:c r="L16" s="62" t="str">
        <x:f>IF(J16="","",MAX(J16-IF(K16="",0,K16),0))</x:f>
      </x:c>
      <x:c r="M16" s="59" t="str">
        <x:f>IF(J16="","",IF(K16&gt;=J16,"จ่ายแล้ว",IF(K16&gt;0,"จ่ายบางส่วน","ยังไม่ได้จ่าย")))</x:f>
      </x:c>
      <x:c r="N16" s="22"/>
    </x:row>
    <x:row r="17" ht="21" customHeight="1">
      <x:c r="A17" s="22" t="str">
        <x:v>13</x:v>
      </x:c>
      <x:c r="B17" s="22" t="str">
        <x:v>ชวนชิม</x:v>
      </x:c>
      <x:c r="C17" s="52"/>
      <x:c r="D17" s="52"/>
      <x:c r="E17" s="52" t="n">
        <x:v>1</x:v>
      </x:c>
      <x:c r="F17" s="66">
        <x:f t="shared" si="0"/>
      </x:c>
      <x:c r="G17" s="53"/>
      <x:c r="H17" s="53"/>
      <x:c r="I17" s="53"/>
      <x:c r="J17" s="60" t="n">
        <x:f>IF(COUNTA(C17:E17,G17:I17)=0,"",C17*$Q$2+(D17+E17)*$Q$3+G17*$Q$2+(H17+I17)*$Q$3)</x:f>
        <x:v>60</x:v>
      </x:c>
      <x:c r="K17" s="61" t="n">
        <x:v>0</x:v>
      </x:c>
      <x:c r="L17" s="62" t="n">
        <x:f>IF(J17="","",MAX(J17-IF(K17="",0,K17),0))</x:f>
        <x:v>60</x:v>
      </x:c>
      <x:c r="M17" s="59" t="str">
        <x:f>IF(J17="","",IF(K17&gt;=J17,"จ่ายแล้ว",IF(K17&gt;0,"จ่ายบางส่วน","ยังไม่ได้จ่าย")))</x:f>
        <x:v>ยังไม่ได้จ่าย</x:v>
      </x:c>
      <x:c r="N17" s="22"/>
    </x:row>
    <x:row r="18" ht="21" customHeight="1">
      <x:c r="A18" s="22" t="str">
        <x:v>14</x:v>
      </x:c>
      <x:c r="B18" s="22" t="str">
        <x:v>ชวนชิม</x:v>
      </x:c>
      <x:c r="C18" s="52"/>
      <x:c r="D18" s="52"/>
      <x:c r="E18" s="52"/>
      <x:c r="F18" s="66">
        <x:f t="shared" si="0"/>
      </x:c>
      <x:c r="G18" s="53"/>
      <x:c r="H18" s="53"/>
      <x:c r="I18" s="53"/>
      <x:c r="J18" s="60" t="str">
        <x:f>IF(COUNTA(C18:E18,G18:I18)=0,"",C18*$Q$2+(D18+E18)*$Q$3+G18*$Q$2+(H18+I18)*$Q$3)</x:f>
      </x:c>
      <x:c r="K18" s="61"/>
      <x:c r="L18" s="62" t="str">
        <x:f>IF(J18="","",MAX(J18-IF(K18="",0,K18),0))</x:f>
      </x:c>
      <x:c r="M18" s="59" t="str">
        <x:f>IF(J18="","",IF(K18&gt;=J18,"จ่ายแล้ว",IF(K18&gt;0,"จ่ายบางส่วน","ยังไม่ได้จ่าย")))</x:f>
      </x:c>
      <x:c r="N18" s="22"/>
    </x:row>
    <x:row r="19" ht="21" customHeight="1">
      <x:c r="A19" s="22" t="str">
        <x:v>15</x:v>
      </x:c>
      <x:c r="B19" s="22" t="str">
        <x:v>ชวนชิม</x:v>
      </x:c>
      <x:c r="C19" s="52"/>
      <x:c r="D19" s="52"/>
      <x:c r="E19" s="52"/>
      <x:c r="F19" s="66">
        <x:f t="shared" si="0"/>
      </x:c>
      <x:c r="G19" s="53"/>
      <x:c r="H19" s="53"/>
      <x:c r="I19" s="53"/>
      <x:c r="J19" s="60" t="str">
        <x:f>IF(COUNTA(C19:E19,G19:I19)=0,"",C19*$Q$2+(D19+E19)*$Q$3+G19*$Q$2+(H19+I19)*$Q$3)</x:f>
      </x:c>
      <x:c r="K19" s="61"/>
      <x:c r="L19" s="62" t="str">
        <x:f>IF(J19="","",MAX(J19-IF(K19="",0,K19),0))</x:f>
      </x:c>
      <x:c r="M19" s="59" t="str">
        <x:f>IF(J19="","",IF(K19&gt;=J19,"จ่ายแล้ว",IF(K19&gt;0,"จ่ายบางส่วน","ยังไม่ได้จ่าย")))</x:f>
      </x:c>
      <x:c r="N19" s="22"/>
    </x:row>
    <x:row r="20" ht="21" customHeight="1">
      <x:c r="A20" s="22" t="str">
        <x:v>16</x:v>
      </x:c>
      <x:c r="B20" s="22" t="str">
        <x:v>ชวนชิม</x:v>
      </x:c>
      <x:c r="C20" s="52"/>
      <x:c r="D20" s="52"/>
      <x:c r="E20" s="52"/>
      <x:c r="F20" s="66">
        <x:f t="shared" si="0"/>
      </x:c>
      <x:c r="G20" s="53"/>
      <x:c r="H20" s="53"/>
      <x:c r="I20" s="53"/>
      <x:c r="J20" s="60" t="str">
        <x:f>IF(COUNTA(C20:E20,G20:I20)=0,"",C20*$Q$2+(D20+E20)*$Q$3+G20*$Q$2+(H20+I20)*$Q$3)</x:f>
      </x:c>
      <x:c r="K20" s="61"/>
      <x:c r="L20" s="62" t="str">
        <x:f>IF(J20="","",MAX(J20-IF(K20="",0,K20),0))</x:f>
      </x:c>
      <x:c r="M20" s="59" t="str">
        <x:f>IF(J20="","",IF(K20&gt;=J20,"จ่ายแล้ว",IF(K20&gt;0,"จ่ายบางส่วน","ยังไม่ได้จ่าย")))</x:f>
      </x:c>
      <x:c r="N20" s="22"/>
    </x:row>
    <x:row r="21" ht="21" customHeight="1">
      <x:c r="A21" s="22" t="str">
        <x:v>17</x:v>
      </x:c>
      <x:c r="B21" s="22" t="str">
        <x:v>ชวนชิม</x:v>
      </x:c>
      <x:c r="C21" s="52"/>
      <x:c r="D21" s="52"/>
      <x:c r="E21" s="52"/>
      <x:c r="F21" s="66">
        <x:f t="shared" si="0"/>
      </x:c>
      <x:c r="G21" s="53"/>
      <x:c r="H21" s="53"/>
      <x:c r="I21" s="53"/>
      <x:c r="J21" s="60" t="str">
        <x:f>IF(COUNTA(C21:E21,G21:I21)=0,"",C21*$Q$2+(D21+E21)*$Q$3+G21*$Q$2+(H21+I21)*$Q$3)</x:f>
      </x:c>
      <x:c r="K21" s="61"/>
      <x:c r="L21" s="62" t="str">
        <x:f>IF(J21="","",MAX(J21-IF(K21="",0,K21),0))</x:f>
      </x:c>
      <x:c r="M21" s="59" t="str">
        <x:f>IF(J21="","",IF(K21&gt;=J21,"จ่ายแล้ว",IF(K21&gt;0,"จ่ายบางส่วน","ยังไม่ได้จ่าย")))</x:f>
      </x:c>
      <x:c r="N21" s="22"/>
    </x:row>
    <x:row r="22" ht="21" customHeight="1">
      <x:c r="A22" s="22" t="str">
        <x:v>18</x:v>
      </x:c>
      <x:c r="B22" s="22" t="str">
        <x:v>ชวนชิม</x:v>
      </x:c>
      <x:c r="C22" s="52"/>
      <x:c r="D22" s="52"/>
      <x:c r="E22" s="52"/>
      <x:c r="F22" s="66">
        <x:f t="shared" si="0"/>
      </x:c>
      <x:c r="G22" s="53"/>
      <x:c r="H22" s="53"/>
      <x:c r="I22" s="53"/>
      <x:c r="J22" s="60" t="str">
        <x:f>IF(COUNTA(C22:E22,G22:I22)=0,"",C22*$Q$2+(D22+E22)*$Q$3+G22*$Q$2+(H22+I22)*$Q$3)</x:f>
      </x:c>
      <x:c r="K22" s="61"/>
      <x:c r="L22" s="62" t="str">
        <x:f>IF(J22="","",MAX(J22-IF(K22="",0,K22),0))</x:f>
      </x:c>
      <x:c r="M22" s="59" t="str">
        <x:f>IF(J22="","",IF(K22&gt;=J22,"จ่ายแล้ว",IF(K22&gt;0,"จ่ายบางส่วน","ยังไม่ได้จ่าย")))</x:f>
      </x:c>
      <x:c r="N22" s="22"/>
    </x:row>
    <x:row r="23" ht="21" customHeight="1">
      <x:c r="A23" s="22" t="str">
        <x:v>19</x:v>
      </x:c>
      <x:c r="B23" s="22" t="str">
        <x:v>ชวนชิม</x:v>
      </x:c>
      <x:c r="C23" s="52"/>
      <x:c r="D23" s="52"/>
      <x:c r="E23" s="52"/>
      <x:c r="F23" s="66">
        <x:f t="shared" si="0"/>
      </x:c>
      <x:c r="G23" s="53"/>
      <x:c r="H23" s="53"/>
      <x:c r="I23" s="53"/>
      <x:c r="J23" s="60" t="str">
        <x:f>IF(COUNTA(C23:E23,G23:I23)=0,"",C23*$Q$2+(D23+E23)*$Q$3+G23*$Q$2+(H23+I23)*$Q$3)</x:f>
      </x:c>
      <x:c r="K23" s="61"/>
      <x:c r="L23" s="62" t="str">
        <x:f>IF(J23="","",MAX(J23-IF(K23="",0,K23),0))</x:f>
      </x:c>
      <x:c r="M23" s="59" t="str">
        <x:f>IF(J23="","",IF(K23&gt;=J23,"จ่ายแล้ว",IF(K23&gt;0,"จ่ายบางส่วน","ยังไม่ได้จ่าย")))</x:f>
      </x:c>
      <x:c r="N23" s="22"/>
    </x:row>
    <x:row r="24" ht="21" customHeight="1">
      <x:c r="A24" s="22" t="str">
        <x:v>20</x:v>
      </x:c>
      <x:c r="B24" s="22" t="str">
        <x:v>ชวนชิม</x:v>
      </x:c>
      <x:c r="C24" s="52"/>
      <x:c r="D24" s="52"/>
      <x:c r="E24" s="52"/>
      <x:c r="F24" s="66">
        <x:f t="shared" si="0"/>
      </x:c>
      <x:c r="G24" s="53"/>
      <x:c r="H24" s="53"/>
      <x:c r="I24" s="53"/>
      <x:c r="J24" s="60" t="str">
        <x:f>IF(COUNTA(C24:E24,G24:I24)=0,"",C24*$Q$2+(D24+E24)*$Q$3+G24*$Q$2+(H24+I24)*$Q$3)</x:f>
      </x:c>
      <x:c r="K24" s="61"/>
      <x:c r="L24" s="62" t="str">
        <x:f>IF(J24="","",MAX(J24-IF(K24="",0,K24),0))</x:f>
      </x:c>
      <x:c r="M24" s="59" t="str">
        <x:f>IF(J24="","",IF(K24&gt;=J24,"จ่ายแล้ว",IF(K24&gt;0,"จ่ายบางส่วน","ยังไม่ได้จ่าย")))</x:f>
      </x:c>
      <x:c r="N24" s="22"/>
    </x:row>
    <x:row r="25" ht="21" customHeight="1">
      <x:c r="A25" s="22" t="str">
        <x:v>21</x:v>
      </x:c>
      <x:c r="B25" s="22" t="str">
        <x:v>ชวนชิม</x:v>
      </x:c>
      <x:c r="C25" s="52"/>
      <x:c r="D25" s="52"/>
      <x:c r="E25" s="52"/>
      <x:c r="F25" s="66">
        <x:f t="shared" si="0"/>
      </x:c>
      <x:c r="G25" s="53"/>
      <x:c r="H25" s="53"/>
      <x:c r="I25" s="53"/>
      <x:c r="J25" s="60" t="str">
        <x:f>IF(COUNTA(C25:E25,G25:I25)=0,"",C25*$Q$2+(D25+E25)*$Q$3+G25*$Q$2+(H25+I25)*$Q$3)</x:f>
      </x:c>
      <x:c r="K25" s="61"/>
      <x:c r="L25" s="62" t="str">
        <x:f>IF(J25="","",MAX(J25-IF(K25="",0,K25),0))</x:f>
      </x:c>
      <x:c r="M25" s="59" t="str">
        <x:f>IF(J25="","",IF(K25&gt;=J25,"จ่ายแล้ว",IF(K25&gt;0,"จ่ายบางส่วน","ยังไม่ได้จ่าย")))</x:f>
      </x:c>
      <x:c r="N25" s="22"/>
    </x:row>
    <x:row r="26" ht="21" customHeight="1">
      <x:c r="A26" s="22" t="str">
        <x:v>22</x:v>
      </x:c>
      <x:c r="B26" s="22" t="str">
        <x:v>ชวนชิม</x:v>
      </x:c>
      <x:c r="C26" s="52"/>
      <x:c r="D26" s="52"/>
      <x:c r="E26" s="52"/>
      <x:c r="F26" s="66">
        <x:f t="shared" si="0"/>
      </x:c>
      <x:c r="G26" s="53"/>
      <x:c r="H26" s="53"/>
      <x:c r="I26" s="53"/>
      <x:c r="J26" s="60" t="str">
        <x:f>IF(COUNTA(C26:E26,G26:I26)=0,"",C26*$Q$2+(D26+E26)*$Q$3+G26*$Q$2+(H26+I26)*$Q$3)</x:f>
      </x:c>
      <x:c r="K26" s="61"/>
      <x:c r="L26" s="62" t="str">
        <x:f>IF(J26="","",MAX(J26-IF(K26="",0,K26),0))</x:f>
      </x:c>
      <x:c r="M26" s="59" t="str">
        <x:f>IF(J26="","",IF(K26&gt;=J26,"จ่ายแล้ว",IF(K26&gt;0,"จ่ายบางส่วน","ยังไม่ได้จ่าย")))</x:f>
      </x:c>
      <x:c r="N26" s="22"/>
    </x:row>
    <x:row r="27" ht="21" customHeight="1">
      <x:c r="A27" s="22" t="str">
        <x:v>23</x:v>
      </x:c>
      <x:c r="B27" s="22" t="str">
        <x:v>ชวนชิม</x:v>
      </x:c>
      <x:c r="C27" s="52"/>
      <x:c r="D27" s="52" t="n">
        <x:v>1</x:v>
      </x:c>
      <x:c r="E27" s="52"/>
      <x:c r="F27" s="66">
        <x:f t="shared" si="0"/>
      </x:c>
      <x:c r="G27" s="53"/>
      <x:c r="H27" s="53"/>
      <x:c r="I27" s="53"/>
      <x:c r="J27" s="60" t="n">
        <x:f>IF(COUNTA(C27:E27,G27:I27)=0,"",C27*$Q$2+(D27+E27)*$Q$3+G27*$Q$2+(H27+I27)*$Q$3)</x:f>
        <x:v>60</x:v>
      </x:c>
      <x:c r="K27" s="61" t="n">
        <x:v>0</x:v>
      </x:c>
      <x:c r="L27" s="62" t="n">
        <x:f>IF(J27="","",MAX(J27-IF(K27="",0,K27),0))</x:f>
        <x:v>60</x:v>
      </x:c>
      <x:c r="M27" s="59" t="str">
        <x:f>IF(J27="","",IF(K27&gt;=J27,"จ่ายแล้ว",IF(K27&gt;0,"จ่ายบางส่วน","ยังไม่ได้จ่าย")))</x:f>
        <x:v>ยังไม่ได้จ่าย</x:v>
      </x:c>
      <x:c r="N27" s="22"/>
    </x:row>
    <x:row r="28" ht="21" customHeight="1">
      <x:c r="A28" s="22" t="str">
        <x:v>24</x:v>
      </x:c>
      <x:c r="B28" s="22" t="str">
        <x:v>ชวนชิม</x:v>
      </x:c>
      <x:c r="C28" s="52"/>
      <x:c r="D28" s="52"/>
      <x:c r="E28" s="52" t="n">
        <x:v>5</x:v>
      </x:c>
      <x:c r="F28" s="66">
        <x:f t="shared" si="0"/>
      </x:c>
      <x:c r="G28" s="53"/>
      <x:c r="H28" s="53"/>
      <x:c r="I28" s="53"/>
      <x:c r="J28" s="60" t="n">
        <x:f>IF(COUNTA(C28:E28,G28:I28)=0,"",C28*$Q$2+(D28+E28)*$Q$3+G28*$Q$2+(H28+I28)*$Q$3)</x:f>
        <x:v>300</x:v>
      </x:c>
      <x:c r="K28" s="61" t="n">
        <x:v>0</x:v>
      </x:c>
      <x:c r="L28" s="62" t="n">
        <x:f>IF(J28="","",MAX(J28-IF(K28="",0,K28),0))</x:f>
        <x:v>300</x:v>
      </x:c>
      <x:c r="M28" s="59" t="str">
        <x:f>IF(J28="","",IF(K28&gt;=J28,"จ่ายแล้ว",IF(K28&gt;0,"จ่ายบางส่วน","ยังไม่ได้จ่าย")))</x:f>
        <x:v>ยังไม่ได้จ่าย</x:v>
      </x:c>
      <x:c r="N28" s="22"/>
    </x:row>
    <x:row r="29" ht="21" customHeight="1">
      <x:c r="A29" s="22" t="str">
        <x:v>25</x:v>
      </x:c>
      <x:c r="B29" s="22" t="str">
        <x:v>ชวนชิม</x:v>
      </x:c>
      <x:c r="C29" s="52"/>
      <x:c r="D29" s="52"/>
      <x:c r="E29" s="52"/>
      <x:c r="F29" s="66">
        <x:f t="shared" si="0"/>
      </x:c>
      <x:c r="G29" s="53"/>
      <x:c r="H29" s="53"/>
      <x:c r="I29" s="53"/>
      <x:c r="J29" s="60" t="str">
        <x:f>IF(COUNTA(C29:E29,G29:I29)=0,"",C29*$Q$2+(D29+E29)*$Q$3+G29*$Q$2+(H29+I29)*$Q$3)</x:f>
      </x:c>
      <x:c r="K29" s="61"/>
      <x:c r="L29" s="62" t="str">
        <x:f>IF(J29="","",MAX(J29-IF(K29="",0,K29),0))</x:f>
      </x:c>
      <x:c r="M29" s="59" t="str">
        <x:f>IF(J29="","",IF(K29&gt;=J29,"จ่ายแล้ว",IF(K29&gt;0,"จ่ายบางส่วน","ยังไม่ได้จ่าย")))</x:f>
      </x:c>
      <x:c r="N29" s="22"/>
    </x:row>
    <x:row r="30" ht="21" customHeight="1">
      <x:c r="A30" s="22" t="str">
        <x:v>26</x:v>
      </x:c>
      <x:c r="B30" s="22" t="str">
        <x:v>ชวนชิม</x:v>
      </x:c>
      <x:c r="C30" s="52"/>
      <x:c r="D30" s="52"/>
      <x:c r="E30" s="52"/>
      <x:c r="F30" s="66">
        <x:f t="shared" si="0"/>
      </x:c>
      <x:c r="G30" s="53"/>
      <x:c r="H30" s="53"/>
      <x:c r="I30" s="53"/>
      <x:c r="J30" s="60" t="str">
        <x:f>IF(COUNTA(C30:E30,G30:I30)=0,"",C30*$Q$2+(D30+E30)*$Q$3+G30*$Q$2+(H30+I30)*$Q$3)</x:f>
      </x:c>
      <x:c r="K30" s="61"/>
      <x:c r="L30" s="62" t="str">
        <x:f>IF(J30="","",MAX(J30-IF(K30="",0,K30),0))</x:f>
      </x:c>
      <x:c r="M30" s="59" t="str">
        <x:f>IF(J30="","",IF(K30&gt;=J30,"จ่ายแล้ว",IF(K30&gt;0,"จ่ายบางส่วน","ยังไม่ได้จ่าย")))</x:f>
      </x:c>
      <x:c r="N30" s="22"/>
    </x:row>
    <x:row r="31" ht="21" customHeight="1">
      <x:c r="A31" s="22" t="str">
        <x:v>27</x:v>
      </x:c>
      <x:c r="B31" s="22" t="str">
        <x:v>ชวนชิม</x:v>
      </x:c>
      <x:c r="C31" s="52"/>
      <x:c r="D31" s="52"/>
      <x:c r="E31" s="52"/>
      <x:c r="F31" s="66">
        <x:f t="shared" si="0"/>
      </x:c>
      <x:c r="G31" s="53"/>
      <x:c r="H31" s="53"/>
      <x:c r="I31" s="53"/>
      <x:c r="J31" s="60" t="str">
        <x:f>IF(COUNTA(C31:E31,G31:I31)=0,"",C31*$Q$2+(D31+E31)*$Q$3+G31*$Q$2+(H31+I31)*$Q$3)</x:f>
      </x:c>
      <x:c r="K31" s="61"/>
      <x:c r="L31" s="62" t="str">
        <x:f>IF(J31="","",MAX(J31-IF(K31="",0,K31),0))</x:f>
      </x:c>
      <x:c r="M31" s="59" t="str">
        <x:f>IF(J31="","",IF(K31&gt;=J31,"จ่ายแล้ว",IF(K31&gt;0,"จ่ายบางส่วน","ยังไม่ได้จ่าย")))</x:f>
      </x:c>
      <x:c r="N31" s="22"/>
    </x:row>
    <x:row r="32" ht="21" customHeight="1">
      <x:c r="A32" s="22" t="str">
        <x:v>28</x:v>
      </x:c>
      <x:c r="B32" s="22" t="str">
        <x:v>ชวนชิม</x:v>
      </x:c>
      <x:c r="C32" s="52"/>
      <x:c r="D32" s="52" t="n">
        <x:v>1</x:v>
      </x:c>
      <x:c r="E32" s="52"/>
      <x:c r="F32" s="66">
        <x:f t="shared" si="0"/>
      </x:c>
      <x:c r="G32" s="53"/>
      <x:c r="H32" s="53"/>
      <x:c r="I32" s="53"/>
      <x:c r="J32" s="60" t="n">
        <x:f>IF(COUNTA(C32:E32,G32:I32)=0,"",C32*$Q$2+(D32+E32)*$Q$3+G32*$Q$2+(H32+I32)*$Q$3)</x:f>
        <x:v>60</x:v>
      </x:c>
      <x:c r="K32" s="61" t="n">
        <x:v>0</x:v>
      </x:c>
      <x:c r="L32" s="62" t="n">
        <x:f>IF(J32="","",MAX(J32-IF(K32="",0,K32),0))</x:f>
        <x:v>60</x:v>
      </x:c>
      <x:c r="M32" s="59" t="str">
        <x:f>IF(J32="","",IF(K32&gt;=J32,"จ่ายแล้ว",IF(K32&gt;0,"จ่ายบางส่วน","ยังไม่ได้จ่าย")))</x:f>
        <x:v>ยังไม่ได้จ่าย</x:v>
      </x:c>
      <x:c r="N32" s="22"/>
    </x:row>
    <x:row r="33" ht="21" customHeight="1">
      <x:c r="A33" s="22" t="str">
        <x:v>29</x:v>
      </x:c>
      <x:c r="B33" s="22" t="str">
        <x:v>ชวนชิม</x:v>
      </x:c>
      <x:c r="C33" s="52"/>
      <x:c r="D33" s="52"/>
      <x:c r="E33" s="52"/>
      <x:c r="F33" s="66">
        <x:f t="shared" si="0"/>
      </x:c>
      <x:c r="G33" s="53"/>
      <x:c r="H33" s="53"/>
      <x:c r="I33" s="53"/>
      <x:c r="J33" s="60" t="str">
        <x:f>IF(COUNTA(C33:E33,G33:I33)=0,"",C33*$Q$2+(D33+E33)*$Q$3+G33*$Q$2+(H33+I33)*$Q$3)</x:f>
      </x:c>
      <x:c r="K33" s="61"/>
      <x:c r="L33" s="62" t="str">
        <x:f>IF(J33="","",MAX(J33-IF(K33="",0,K33),0))</x:f>
      </x:c>
      <x:c r="M33" s="59" t="str">
        <x:f>IF(J33="","",IF(K33&gt;=J33,"จ่ายแล้ว",IF(K33&gt;0,"จ่ายบางส่วน","ยังไม่ได้จ่าย")))</x:f>
      </x:c>
      <x:c r="N33" s="22"/>
    </x:row>
    <x:row r="34" ht="21" customHeight="1">
      <x:c r="A34" s="22" t="str">
        <x:v>30</x:v>
      </x:c>
      <x:c r="B34" s="22" t="str">
        <x:v>ชวนชิม</x:v>
      </x:c>
      <x:c r="C34" s="52"/>
      <x:c r="D34" s="52"/>
      <x:c r="E34" s="52"/>
      <x:c r="F34" s="66">
        <x:f t="shared" si="0"/>
      </x:c>
      <x:c r="G34" s="53"/>
      <x:c r="H34" s="53"/>
      <x:c r="I34" s="53"/>
      <x:c r="J34" s="60" t="str">
        <x:f>IF(COUNTA(C34:E34,G34:I34)=0,"",C34*$Q$2+(D34+E34)*$Q$3+G34*$Q$2+(H34+I34)*$Q$3)</x:f>
      </x:c>
      <x:c r="K34" s="61"/>
      <x:c r="L34" s="62" t="str">
        <x:f>IF(J34="","",MAX(J34-IF(K34="",0,K34),0))</x:f>
      </x:c>
      <x:c r="M34" s="59" t="str">
        <x:f>IF(J34="","",IF(K34&gt;=J34,"จ่ายแล้ว",IF(K34&gt;0,"จ่ายบางส่วน","ยังไม่ได้จ่าย")))</x:f>
      </x:c>
      <x:c r="N34" s="22"/>
    </x:row>
    <x:row r="35" ht="21" customHeight="1">
      <x:c r="A35" s="22" t="str">
        <x:v>31</x:v>
      </x:c>
      <x:c r="B35" s="22" t="str">
        <x:v>ชวนชิม</x:v>
      </x:c>
      <x:c r="C35" s="52"/>
      <x:c r="D35" s="52" t="n">
        <x:v>1</x:v>
      </x:c>
      <x:c r="E35" s="52"/>
      <x:c r="F35" s="66">
        <x:f t="shared" si="0"/>
      </x:c>
      <x:c r="G35" s="53"/>
      <x:c r="H35" s="53"/>
      <x:c r="I35" s="53"/>
      <x:c r="J35" s="60" t="n">
        <x:f>IF(COUNTA(C35:E35,G35:I35)=0,"",C35*$Q$2+(D35+E35)*$Q$3+G35*$Q$2+(H35+I35)*$Q$3)</x:f>
        <x:v>60</x:v>
      </x:c>
      <x:c r="K35" s="61" t="n">
        <x:v>0</x:v>
      </x:c>
      <x:c r="L35" s="62" t="n">
        <x:f>IF(J35="","",MAX(J35-IF(K35="",0,K35),0))</x:f>
        <x:v>60</x:v>
      </x:c>
      <x:c r="M35" s="59" t="str">
        <x:f>IF(J35="","",IF(K35&gt;=J35,"จ่ายแล้ว",IF(K35&gt;0,"จ่ายบางส่วน","ยังไม่ได้จ่าย")))</x:f>
        <x:v>ยังไม่ได้จ่าย</x:v>
      </x:c>
      <x:c r="N35" s="22"/>
    </x:row>
    <x:row r="36" ht="21" customHeight="1">
      <x:c r="A36" s="22" t="str">
        <x:v>32</x:v>
      </x:c>
      <x:c r="B36" s="22" t="str">
        <x:v>ชวนชิม</x:v>
      </x:c>
      <x:c r="C36" s="52"/>
      <x:c r="D36" s="52"/>
      <x:c r="E36" s="52"/>
      <x:c r="F36" s="66">
        <x:f t="shared" si="0"/>
      </x:c>
      <x:c r="G36" s="53"/>
      <x:c r="H36" s="53"/>
      <x:c r="I36" s="53"/>
      <x:c r="J36" s="60" t="str">
        <x:f>IF(COUNTA(C36:E36,G36:I36)=0,"",C36*$Q$2+(D36+E36)*$Q$3+G36*$Q$2+(H36+I36)*$Q$3)</x:f>
      </x:c>
      <x:c r="K36" s="61"/>
      <x:c r="L36" s="62" t="str">
        <x:f>IF(J36="","",MAX(J36-IF(K36="",0,K36),0))</x:f>
      </x:c>
      <x:c r="M36" s="59" t="str">
        <x:f>IF(J36="","",IF(K36&gt;=J36,"จ่ายแล้ว",IF(K36&gt;0,"จ่ายบางส่วน","ยังไม่ได้จ่าย")))</x:f>
      </x:c>
      <x:c r="N36" s="22"/>
    </x:row>
    <x:row r="37" ht="21" customHeight="1">
      <x:c r="A37" s="22" t="str">
        <x:v>33</x:v>
      </x:c>
      <x:c r="B37" s="22" t="str">
        <x:v>ชวนชิม</x:v>
      </x:c>
      <x:c r="C37" s="52"/>
      <x:c r="D37" s="52"/>
      <x:c r="E37" s="52"/>
      <x:c r="F37" s="66">
        <x:f t="shared" si="0"/>
      </x:c>
      <x:c r="G37" s="53"/>
      <x:c r="H37" s="53"/>
      <x:c r="I37" s="53"/>
      <x:c r="J37" s="60" t="str">
        <x:f>IF(COUNTA(C37:E37,G37:I37)=0,"",C37*$Q$2+(D37+E37)*$Q$3+G37*$Q$2+(H37+I37)*$Q$3)</x:f>
      </x:c>
      <x:c r="K37" s="61"/>
      <x:c r="L37" s="62" t="str">
        <x:f>IF(J37="","",MAX(J37-IF(K37="",0,K37),0))</x:f>
      </x:c>
      <x:c r="M37" s="59" t="str">
        <x:f>IF(J37="","",IF(K37&gt;=J37,"จ่ายแล้ว",IF(K37&gt;0,"จ่ายบางส่วน","ยังไม่ได้จ่าย")))</x:f>
      </x:c>
      <x:c r="N37" s="22"/>
    </x:row>
    <x:row r="38" ht="21" customHeight="1">
      <x:c r="A38" s="22" t="str">
        <x:v>34</x:v>
      </x:c>
      <x:c r="B38" s="22" t="str">
        <x:v>ชวนชิม</x:v>
      </x:c>
      <x:c r="C38" s="52" t="n">
        <x:v>1</x:v>
      </x:c>
      <x:c r="D38" s="52" t="n">
        <x:v>3</x:v>
      </x:c>
      <x:c r="E38" s="52"/>
      <x:c r="F38" s="66">
        <x:f t="shared" si="0"/>
      </x:c>
      <x:c r="G38" s="53"/>
      <x:c r="H38" s="53"/>
      <x:c r="I38" s="53"/>
      <x:c r="J38" s="60" t="n">
        <x:f>IF(COUNTA(C38:E38,G38:I38)=0,"",C38*$Q$2+(D38+E38)*$Q$3+G38*$Q$2+(H38+I38)*$Q$3)</x:f>
        <x:v>280</x:v>
      </x:c>
      <x:c r="K38" s="61" t="n">
        <x:v>0</x:v>
      </x:c>
      <x:c r="L38" s="62" t="n">
        <x:f>IF(J38="","",MAX(J38-IF(K38="",0,K38),0))</x:f>
        <x:v>280</x:v>
      </x:c>
      <x:c r="M38" s="59" t="str">
        <x:f>IF(J38="","",IF(K38&gt;=J38,"จ่ายแล้ว",IF(K38&gt;0,"จ่ายบางส่วน","ยังไม่ได้จ่าย")))</x:f>
        <x:v>ยังไม่ได้จ่าย</x:v>
      </x:c>
      <x:c r="N38" s="22" t="str">
        <x:v>สด</x:v>
      </x:c>
    </x:row>
    <x:row r="39" ht="21" customHeight="1">
      <x:c r="A39" s="22" t="str">
        <x:v>35</x:v>
      </x:c>
      <x:c r="B39" s="22" t="str">
        <x:v>ชวนชิม</x:v>
      </x:c>
      <x:c r="C39" s="52"/>
      <x:c r="D39" s="52"/>
      <x:c r="E39" s="52"/>
      <x:c r="F39" s="66">
        <x:f t="shared" si="0"/>
      </x:c>
      <x:c r="G39" s="53"/>
      <x:c r="H39" s="53"/>
      <x:c r="I39" s="53"/>
      <x:c r="J39" s="60" t="str">
        <x:f>IF(COUNTA(C39:E39,G39:I39)=0,"",C39*$Q$2+(D39+E39)*$Q$3+G39*$Q$2+(H39+I39)*$Q$3)</x:f>
      </x:c>
      <x:c r="K39" s="61"/>
      <x:c r="L39" s="62" t="str">
        <x:f>IF(J39="","",MAX(J39-IF(K39="",0,K39),0))</x:f>
      </x:c>
      <x:c r="M39" s="59" t="str">
        <x:f>IF(J39="","",IF(K39&gt;=J39,"จ่ายแล้ว",IF(K39&gt;0,"จ่ายบางส่วน","ยังไม่ได้จ่าย")))</x:f>
      </x:c>
      <x:c r="N39" s="22"/>
    </x:row>
    <x:row r="40" ht="21" customHeight="1">
      <x:c r="A40" s="22" t="str">
        <x:v>36</x:v>
      </x:c>
      <x:c r="B40" s="22" t="str">
        <x:v>ชวนชิม</x:v>
      </x:c>
      <x:c r="C40" s="52"/>
      <x:c r="D40" s="52"/>
      <x:c r="E40" s="52"/>
      <x:c r="F40" s="66">
        <x:f t="shared" si="0"/>
      </x:c>
      <x:c r="G40" s="53"/>
      <x:c r="H40" s="53"/>
      <x:c r="I40" s="53"/>
      <x:c r="J40" s="60" t="str">
        <x:f>IF(COUNTA(C40:E40,G40:I40)=0,"",C40*$Q$2+(D40+E40)*$Q$3+G40*$Q$2+(H40+I40)*$Q$3)</x:f>
      </x:c>
      <x:c r="K40" s="61"/>
      <x:c r="L40" s="62" t="str">
        <x:f>IF(J40="","",MAX(J40-IF(K40="",0,K40),0))</x:f>
      </x:c>
      <x:c r="M40" s="59" t="str">
        <x:f>IF(J40="","",IF(K40&gt;=J40,"จ่ายแล้ว",IF(K40&gt;0,"จ่ายบางส่วน","ยังไม่ได้จ่าย")))</x:f>
      </x:c>
      <x:c r="N40" s="22"/>
    </x:row>
    <x:row r="41" ht="21" customHeight="1">
      <x:c r="A41" s="22" t="str">
        <x:v>37</x:v>
      </x:c>
      <x:c r="B41" s="22" t="str">
        <x:v>ชวนชิม</x:v>
      </x:c>
      <x:c r="C41" s="52"/>
      <x:c r="D41" s="52"/>
      <x:c r="E41" s="52" t="n">
        <x:v>1</x:v>
      </x:c>
      <x:c r="F41" s="66">
        <x:f t="shared" si="0"/>
      </x:c>
      <x:c r="G41" s="53"/>
      <x:c r="H41" s="53"/>
      <x:c r="I41" s="53"/>
      <x:c r="J41" s="60" t="n">
        <x:f>IF(COUNTA(C41:E41,G41:I41)=0,"",C41*$Q$2+(D41+E41)*$Q$3+G41*$Q$2+(H41+I41)*$Q$3)</x:f>
        <x:v>60</x:v>
      </x:c>
      <x:c r="K41" s="61" t="n">
        <x:v>0</x:v>
      </x:c>
      <x:c r="L41" s="62" t="n">
        <x:f>IF(J41="","",MAX(J41-IF(K41="",0,K41),0))</x:f>
        <x:v>60</x:v>
      </x:c>
      <x:c r="M41" s="59" t="str">
        <x:f>IF(J41="","",IF(K41&gt;=J41,"จ่ายแล้ว",IF(K41&gt;0,"จ่ายบางส่วน","ยังไม่ได้จ่าย")))</x:f>
        <x:v>ยังไม่ได้จ่าย</x:v>
      </x:c>
      <x:c r="N41" s="22"/>
    </x:row>
    <x:row r="42" ht="21" customHeight="1">
      <x:c r="A42" s="22" t="str">
        <x:v>38</x:v>
      </x:c>
      <x:c r="B42" s="22" t="str">
        <x:v>ชวนชิม</x:v>
      </x:c>
      <x:c r="C42" s="52"/>
      <x:c r="D42" s="52"/>
      <x:c r="E42" s="52" t="n">
        <x:v>2</x:v>
      </x:c>
      <x:c r="F42" s="66">
        <x:f t="shared" si="0"/>
      </x:c>
      <x:c r="G42" s="53"/>
      <x:c r="H42" s="53"/>
      <x:c r="I42" s="53"/>
      <x:c r="J42" s="60" t="n">
        <x:f>IF(COUNTA(C42:E42,G42:I42)=0,"",C42*$Q$2+(D42+E42)*$Q$3+G42*$Q$2+(H42+I42)*$Q$3)</x:f>
        <x:v>120</x:v>
      </x:c>
      <x:c r="K42" s="61" t="n">
        <x:v>0</x:v>
      </x:c>
      <x:c r="L42" s="62" t="n">
        <x:f>IF(J42="","",MAX(J42-IF(K42="",0,K42),0))</x:f>
        <x:v>120</x:v>
      </x:c>
      <x:c r="M42" s="59" t="str">
        <x:f>IF(J42="","",IF(K42&gt;=J42,"จ่ายแล้ว",IF(K42&gt;0,"จ่ายบางส่วน","ยังไม่ได้จ่าย")))</x:f>
        <x:v>ยังไม่ได้จ่าย</x:v>
      </x:c>
      <x:c r="N42" s="22"/>
    </x:row>
    <x:row r="43" ht="21" customHeight="1">
      <x:c r="A43" s="22" t="str">
        <x:v>39</x:v>
      </x:c>
      <x:c r="B43" s="22" t="str">
        <x:v>ชวนชิม น้ำมะพร้าวสดในกระบอกไม้ไผ่</x:v>
      </x:c>
      <x:c r="C43" s="52" t="n">
        <x:v>1</x:v>
      </x:c>
      <x:c r="D43" s="52" t="n">
        <x:v>7</x:v>
      </x:c>
      <x:c r="E43" s="52"/>
      <x:c r="F43" s="66">
        <x:f t="shared" si="0"/>
      </x:c>
      <x:c r="G43" s="53"/>
      <x:c r="H43" s="53"/>
      <x:c r="I43" s="53"/>
      <x:c r="J43" s="60" t="n">
        <x:f>IF(COUNTA(C43:E43,G43:I43)=0,"",C43*$Q$2+(D43+E43)*$Q$3+G43*$Q$2+(H43+I43)*$Q$3)</x:f>
        <x:v>520</x:v>
      </x:c>
      <x:c r="K43" s="61" t="n">
        <x:v>0</x:v>
      </x:c>
      <x:c r="L43" s="62" t="n">
        <x:f>IF(J43="","",MAX(J43-IF(K43="",0,K43),0))</x:f>
        <x:v>520</x:v>
      </x:c>
      <x:c r="M43" s="59" t="str">
        <x:f>IF(J43="","",IF(K43&gt;=J43,"จ่ายแล้ว",IF(K43&gt;0,"จ่ายบางส่วน","ยังไม่ได้จ่าย")))</x:f>
        <x:v>ยังไม่ได้จ่าย</x:v>
      </x:c>
      <x:c r="N43" s="22" t="str">
        <x:v>สด</x:v>
      </x:c>
    </x:row>
    <x:row r="44" ht="21" customHeight="1">
      <x:c r="A44" s="22" t="str">
        <x:v>40</x:v>
      </x:c>
      <x:c r="B44" s="22" t="str">
        <x:v>ชวนชิม ข้าวเหนียวหมู</x:v>
      </x:c>
      <x:c r="C44" s="52"/>
      <x:c r="D44" s="52"/>
      <x:c r="E44" s="52" t="n">
        <x:v>1</x:v>
      </x:c>
      <x:c r="F44" s="66">
        <x:f t="shared" si="0"/>
      </x:c>
      <x:c r="G44" s="53"/>
      <x:c r="H44" s="53"/>
      <x:c r="I44" s="53"/>
      <x:c r="J44" s="60" t="n">
        <x:f>IF(COUNTA(C44:E44,G44:I44)=0,"",C44*$Q$2+(D44+E44)*$Q$3+G44*$Q$2+(H44+I44)*$Q$3)</x:f>
        <x:v>60</x:v>
      </x:c>
      <x:c r="K44" s="61" t="n">
        <x:v>0</x:v>
      </x:c>
      <x:c r="L44" s="62" t="n">
        <x:f>IF(J44="","",MAX(J44-IF(K44="",0,K44),0))</x:f>
        <x:v>60</x:v>
      </x:c>
      <x:c r="M44" s="59" t="str">
        <x:f>IF(J44="","",IF(K44&gt;=J44,"จ่ายแล้ว",IF(K44&gt;0,"จ่ายบางส่วน","ยังไม่ได้จ่าย")))</x:f>
        <x:v>ยังไม่ได้จ่าย</x:v>
      </x:c>
      <x:c r="N44" s="22"/>
    </x:row>
    <x:row r="45" ht="21" customHeight="1">
      <x:c r="A45" s="22" t="str">
        <x:v>41</x:v>
      </x:c>
      <x:c r="B45" s="22" t="str">
        <x:v>ชวนชิม</x:v>
      </x:c>
      <x:c r="C45" s="52"/>
      <x:c r="D45" s="52"/>
      <x:c r="E45" s="52"/>
      <x:c r="F45" s="66">
        <x:f t="shared" si="0"/>
      </x:c>
      <x:c r="G45" s="53"/>
      <x:c r="H45" s="53"/>
      <x:c r="I45" s="53"/>
      <x:c r="J45" s="60" t="str">
        <x:f>IF(COUNTA(C45:E45,G45:I45)=0,"",C45*$Q$2+(D45+E45)*$Q$3+G45*$Q$2+(H45+I45)*$Q$3)</x:f>
      </x:c>
      <x:c r="K45" s="61"/>
      <x:c r="L45" s="62" t="str">
        <x:f>IF(J45="","",MAX(J45-IF(K45="",0,K45),0))</x:f>
      </x:c>
      <x:c r="M45" s="59" t="str">
        <x:f>IF(J45="","",IF(K45&gt;=J45,"จ่ายแล้ว",IF(K45&gt;0,"จ่ายบางส่วน","ยังไม่ได้จ่าย")))</x:f>
      </x:c>
      <x:c r="N45" s="22"/>
    </x:row>
    <x:row r="46" ht="21" customHeight="1">
      <x:c r="A46" s="22" t="str">
        <x:v>42</x:v>
      </x:c>
      <x:c r="B46" s="22" t="str">
        <x:v>ชวนชิม</x:v>
      </x:c>
      <x:c r="C46" s="52"/>
      <x:c r="D46" s="52"/>
      <x:c r="E46" s="52"/>
      <x:c r="F46" s="66">
        <x:f t="shared" si="0"/>
      </x:c>
      <x:c r="G46" s="53"/>
      <x:c r="H46" s="53"/>
      <x:c r="I46" s="53"/>
      <x:c r="J46" s="60" t="str">
        <x:f>IF(COUNTA(C46:E46,G46:I46)=0,"",C46*$Q$2+(D46+E46)*$Q$3+G46*$Q$2+(H46+I46)*$Q$3)</x:f>
      </x:c>
      <x:c r="K46" s="61"/>
      <x:c r="L46" s="62" t="str">
        <x:f>IF(J46="","",MAX(J46-IF(K46="",0,K46),0))</x:f>
      </x:c>
      <x:c r="M46" s="59" t="str">
        <x:f>IF(J46="","",IF(K46&gt;=J46,"จ่ายแล้ว",IF(K46&gt;0,"จ่ายบางส่วน","ยังไม่ได้จ่าย")))</x:f>
      </x:c>
      <x:c r="N46" s="22"/>
    </x:row>
    <x:row r="47" ht="21" customHeight="1">
      <x:c r="A47" s="22" t="str">
        <x:v>43</x:v>
      </x:c>
      <x:c r="B47" s="22" t="str">
        <x:v>ชวนชิม</x:v>
      </x:c>
      <x:c r="C47" s="52"/>
      <x:c r="D47" s="52"/>
      <x:c r="E47" s="52"/>
      <x:c r="F47" s="66">
        <x:f t="shared" si="0"/>
      </x:c>
      <x:c r="G47" s="53"/>
      <x:c r="H47" s="53"/>
      <x:c r="I47" s="53"/>
      <x:c r="J47" s="60" t="str">
        <x:f>IF(COUNTA(C47:E47,G47:I47)=0,"",C47*$Q$2+(D47+E47)*$Q$3+G47*$Q$2+(H47+I47)*$Q$3)</x:f>
      </x:c>
      <x:c r="K47" s="61"/>
      <x:c r="L47" s="62" t="str">
        <x:f>IF(J47="","",MAX(J47-IF(K47="",0,K47),0))</x:f>
      </x:c>
      <x:c r="M47" s="59" t="str">
        <x:f>IF(J47="","",IF(K47&gt;=J47,"จ่ายแล้ว",IF(K47&gt;0,"จ่ายบางส่วน","ยังไม่ได้จ่าย")))</x:f>
      </x:c>
      <x:c r="N47" s="22"/>
    </x:row>
    <x:row r="48" ht="21" customHeight="1">
      <x:c r="A48" s="22" t="n">
        <x:v>44</x:v>
      </x:c>
      <x:c r="B48" s="22" t="str">
        <x:v>ชวนชิม</x:v>
      </x:c>
      <x:c r="C48" s="52"/>
      <x:c r="D48" s="52" t="n">
        <x:v>4</x:v>
      </x:c>
      <x:c r="E48" s="52" t="n">
        <x:v>2</x:v>
      </x:c>
      <x:c r="F48" s="66">
        <x:f t="shared" si="0"/>
      </x:c>
      <x:c r="G48" s="53"/>
      <x:c r="H48" s="53"/>
      <x:c r="I48" s="53"/>
      <x:c r="J48" s="60" t="n">
        <x:f>IF(COUNTA(C48:E48,G48:I48)=0,"",C48*$Q$2+(D48+E48)*$Q$3+G48*$Q$2+(H48+I48)*$Q$3)</x:f>
        <x:v>360</x:v>
      </x:c>
      <x:c r="K48" s="61" t="n">
        <x:v>0</x:v>
      </x:c>
      <x:c r="L48" s="62" t="n">
        <x:f>IF(J48="","",MAX(J48-IF(K48="",0,K48),0))</x:f>
        <x:v>360</x:v>
      </x:c>
      <x:c r="M48" s="59" t="str">
        <x:f>IF(J48="","",IF(K48&gt;=J48,"จ่ายแล้ว",IF(K48&gt;0,"จ่ายบางส่วน","ยังไม่ได้จ่าย")))</x:f>
        <x:v>ยังไม่ได้จ่าย</x:v>
      </x:c>
      <x:c r="N48" s="22"/>
    </x:row>
    <x:row r="49" ht="21" customHeight="1">
      <x:c r="A49" s="22" t="n">
        <x:v>45</x:v>
      </x:c>
      <x:c r="B49" s="22" t="str">
        <x:v>ชวนชิม</x:v>
      </x:c>
      <x:c r="C49" s="52"/>
      <x:c r="D49" s="52"/>
      <x:c r="E49" s="52"/>
      <x:c r="F49" s="66">
        <x:f t="shared" si="0"/>
      </x:c>
      <x:c r="G49" s="53"/>
      <x:c r="H49" s="53"/>
      <x:c r="I49" s="53"/>
      <x:c r="J49" s="60" t="str">
        <x:f>IF(COUNTA(C49:E49,G49:I49)=0,"",C49*$Q$2+(D49+E49)*$Q$3+G49*$Q$2+(H49+I49)*$Q$3)</x:f>
      </x:c>
      <x:c r="K49" s="61"/>
      <x:c r="L49" s="62" t="str">
        <x:f>IF(J49="","",MAX(J49-IF(K49="",0,K49),0))</x:f>
      </x:c>
      <x:c r="M49" s="59" t="str">
        <x:f>IF(J49="","",IF(K49&gt;=J49,"จ่ายแล้ว",IF(K49&gt;0,"จ่ายบางส่วน","ยังไม่ได้จ่าย")))</x:f>
      </x:c>
      <x:c r="N49" s="22"/>
    </x:row>
    <x:row r="50" ht="21" customHeight="1">
      <x:c r="A50" s="22" t="str">
        <x:v>46</x:v>
      </x:c>
      <x:c r="B50" s="22" t="str">
        <x:v>ชวนชิม</x:v>
      </x:c>
      <x:c r="C50" s="52"/>
      <x:c r="D50" s="52"/>
      <x:c r="E50" s="52"/>
      <x:c r="F50" s="66">
        <x:f t="shared" si="0"/>
      </x:c>
      <x:c r="G50" s="53"/>
      <x:c r="H50" s="53"/>
      <x:c r="I50" s="53"/>
      <x:c r="J50" s="60" t="str">
        <x:f>IF(COUNTA(C50:E50,G50:I50)=0,"",C50*$Q$2+(D50+E50)*$Q$3+G50*$Q$2+(H50+I50)*$Q$3)</x:f>
      </x:c>
      <x:c r="K50" s="61"/>
      <x:c r="L50" s="62" t="str">
        <x:f>IF(J50="","",MAX(J50-IF(K50="",0,K50),0))</x:f>
      </x:c>
      <x:c r="M50" s="59" t="str">
        <x:f>IF(J50="","",IF(K50&gt;=J50,"จ่ายแล้ว",IF(K50&gt;0,"จ่ายบางส่วน","ยังไม่ได้จ่าย")))</x:f>
      </x:c>
      <x:c r="N50" s="22"/>
    </x:row>
    <x:row r="51" ht="21" customHeight="1">
      <x:c r="A51" s="22" t="str">
        <x:v>47</x:v>
      </x:c>
      <x:c r="B51" s="22" t="str">
        <x:v>ชวนชิม</x:v>
      </x:c>
      <x:c r="C51" s="52" t="n">
        <x:v>2</x:v>
      </x:c>
      <x:c r="D51" s="52"/>
      <x:c r="E51" s="52" t="n">
        <x:v>4</x:v>
      </x:c>
      <x:c r="F51" s="66">
        <x:f t="shared" si="0"/>
      </x:c>
      <x:c r="G51" s="53"/>
      <x:c r="H51" s="53"/>
      <x:c r="I51" s="53"/>
      <x:c r="J51" s="60" t="n">
        <x:f>IF(COUNTA(C51:E51,G51:I51)=0,"",C51*$Q$2+(D51+E51)*$Q$3+G51*$Q$2+(H51+I51)*$Q$3)</x:f>
        <x:v>440</x:v>
      </x:c>
      <x:c r="K51" s="61" t="n">
        <x:v>0</x:v>
      </x:c>
      <x:c r="L51" s="62" t="n">
        <x:f>IF(J51="","",MAX(J51-IF(K51="",0,K51),0))</x:f>
        <x:v>440</x:v>
      </x:c>
      <x:c r="M51" s="59" t="str">
        <x:f>IF(J51="","",IF(K51&gt;=J51,"จ่ายแล้ว",IF(K51&gt;0,"จ่ายบางส่วน","ยังไม่ได้จ่าย")))</x:f>
        <x:v>ยังไม่ได้จ่าย</x:v>
      </x:c>
      <x:c r="N51" s="22" t="str">
        <x:v>สด</x:v>
      </x:c>
    </x:row>
    <x:row r="52" ht="21" customHeight="1">
      <x:c r="A52" s="22" t="str">
        <x:v>48</x:v>
      </x:c>
      <x:c r="B52" s="22" t="str">
        <x:v>ชวนชิม</x:v>
      </x:c>
      <x:c r="C52" s="52"/>
      <x:c r="D52" s="52"/>
      <x:c r="E52" s="52"/>
      <x:c r="F52" s="66">
        <x:f t="shared" si="0"/>
      </x:c>
      <x:c r="G52" s="53"/>
      <x:c r="H52" s="53"/>
      <x:c r="I52" s="53"/>
      <x:c r="J52" s="60" t="str">
        <x:f>IF(COUNTA(C52:E52,G52:I52)=0,"",C52*$Q$2+(D52+E52)*$Q$3+G52*$Q$2+(H52+I52)*$Q$3)</x:f>
      </x:c>
      <x:c r="K52" s="61"/>
      <x:c r="L52" s="62" t="str">
        <x:f>IF(J52="","",MAX(J52-IF(K52="",0,K52),0))</x:f>
      </x:c>
      <x:c r="M52" s="59" t="str">
        <x:f>IF(J52="","",IF(K52&gt;=J52,"จ่ายแล้ว",IF(K52&gt;0,"จ่ายบางส่วน","ยังไม่ได้จ่าย")))</x:f>
      </x:c>
      <x:c r="N52" s="22"/>
    </x:row>
    <x:row r="53" ht="21" customHeight="1">
      <x:c r="A53" s="22" t="str">
        <x:v>49</x:v>
      </x:c>
      <x:c r="B53" s="22" t="str">
        <x:v>ชวนชิม</x:v>
      </x:c>
      <x:c r="C53" s="52"/>
      <x:c r="D53" s="52"/>
      <x:c r="E53" s="52"/>
      <x:c r="F53" s="66">
        <x:f t="shared" si="0"/>
      </x:c>
      <x:c r="G53" s="53"/>
      <x:c r="H53" s="53"/>
      <x:c r="I53" s="53"/>
      <x:c r="J53" s="60" t="str">
        <x:f>IF(COUNTA(C53:E53,G53:I53)=0,"",C53*$Q$2+(D53+E53)*$Q$3+G53*$Q$2+(H53+I53)*$Q$3)</x:f>
      </x:c>
      <x:c r="K53" s="61"/>
      <x:c r="L53" s="62" t="str">
        <x:f>IF(J53="","",MAX(J53-IF(K53="",0,K53),0))</x:f>
      </x:c>
      <x:c r="M53" s="59" t="str">
        <x:f>IF(J53="","",IF(K53&gt;=J53,"จ่ายแล้ว",IF(K53&gt;0,"จ่ายบางส่วน","ยังไม่ได้จ่าย")))</x:f>
      </x:c>
      <x:c r="N53" s="22"/>
    </x:row>
    <x:row r="54" ht="21" customHeight="1">
      <x:c r="A54" s="22" t="str">
        <x:v>50</x:v>
      </x:c>
      <x:c r="B54" s="22" t="str">
        <x:v>ชวนชิม</x:v>
      </x:c>
      <x:c r="C54" s="52"/>
      <x:c r="D54" s="52"/>
      <x:c r="E54" s="52"/>
      <x:c r="F54" s="66">
        <x:f t="shared" si="0"/>
      </x:c>
      <x:c r="G54" s="53"/>
      <x:c r="H54" s="53"/>
      <x:c r="I54" s="53"/>
      <x:c r="J54" s="60" t="str">
        <x:f>IF(COUNTA(C54:E54,G54:I54)=0,"",C54*$Q$2+(D54+E54)*$Q$3+G54*$Q$2+(H54+I54)*$Q$3)</x:f>
      </x:c>
      <x:c r="K54" s="61"/>
      <x:c r="L54" s="62" t="str">
        <x:f>IF(J54="","",MAX(J54-IF(K54="",0,K54),0))</x:f>
      </x:c>
      <x:c r="M54" s="59" t="str">
        <x:f>IF(J54="","",IF(K54&gt;=J54,"จ่ายแล้ว",IF(K54&gt;0,"จ่ายบางส่วน","ยังไม่ได้จ่าย")))</x:f>
      </x:c>
      <x:c r="N54" s="22"/>
    </x:row>
    <x:row r="55" ht="21" customHeight="1">
      <x:c r="A55" s="22" t="str">
        <x:v>51</x:v>
      </x:c>
      <x:c r="B55" s="22" t="str">
        <x:v>ชวนชิม</x:v>
      </x:c>
      <x:c r="C55" s="52" t="n">
        <x:v>1</x:v>
      </x:c>
      <x:c r="D55" s="52"/>
      <x:c r="E55" s="52" t="n">
        <x:v>3</x:v>
      </x:c>
      <x:c r="F55" s="66">
        <x:f t="shared" si="0"/>
      </x:c>
      <x:c r="G55" s="53"/>
      <x:c r="H55" s="53"/>
      <x:c r="I55" s="53"/>
      <x:c r="J55" s="60" t="n">
        <x:f>IF(COUNTA(C55:E55,G55:I55)=0,"",C55*$Q$2+(D55+E55)*$Q$3+G55*$Q$2+(H55+I55)*$Q$3)</x:f>
        <x:v>280</x:v>
      </x:c>
      <x:c r="K55" s="61" t="n">
        <x:v>0</x:v>
      </x:c>
      <x:c r="L55" s="62" t="n">
        <x:f>IF(J55="","",MAX(J55-IF(K55="",0,K55),0))</x:f>
        <x:v>280</x:v>
      </x:c>
      <x:c r="M55" s="59" t="str">
        <x:f>IF(J55="","",IF(K55&gt;=J55,"จ่ายแล้ว",IF(K55&gt;0,"จ่ายบางส่วน","ยังไม่ได้จ่าย")))</x:f>
        <x:v>ยังไม่ได้จ่าย</x:v>
      </x:c>
      <x:c r="N55" s="22" t="str">
        <x:v>สด</x:v>
      </x:c>
    </x:row>
    <x:row r="56" ht="21" customHeight="1">
      <x:c r="A56" s="22" t="str">
        <x:v>52</x:v>
      </x:c>
      <x:c r="B56" s="22" t="str">
        <x:v>ชวนชิม</x:v>
      </x:c>
      <x:c r="C56" s="52"/>
      <x:c r="D56" s="52" t="n">
        <x:v>1</x:v>
      </x:c>
      <x:c r="E56" s="52"/>
      <x:c r="F56" s="66">
        <x:f t="shared" si="0"/>
      </x:c>
      <x:c r="G56" s="53"/>
      <x:c r="H56" s="53"/>
      <x:c r="I56" s="53"/>
      <x:c r="J56" s="60" t="n">
        <x:f>IF(COUNTA(C56:E56,G56:I56)=0,"",C56*$Q$2+(D56+E56)*$Q$3+G56*$Q$2+(H56+I56)*$Q$3)</x:f>
        <x:v>60</x:v>
      </x:c>
      <x:c r="K56" s="61" t="n">
        <x:v>0</x:v>
      </x:c>
      <x:c r="L56" s="62" t="n">
        <x:f>IF(J56="","",MAX(J56-IF(K56="",0,K56),0))</x:f>
        <x:v>60</x:v>
      </x:c>
      <x:c r="M56" s="59" t="str">
        <x:f>IF(J56="","",IF(K56&gt;=J56,"จ่ายแล้ว",IF(K56&gt;0,"จ่ายบางส่วน","ยังไม่ได้จ่าย")))</x:f>
        <x:v>ยังไม่ได้จ่าย</x:v>
      </x:c>
      <x:c r="N56" s="22"/>
    </x:row>
    <x:row r="57" ht="21" customHeight="1">
      <x:c r="A57" s="22" t="str">
        <x:v>53</x:v>
      </x:c>
      <x:c r="B57" s="22" t="str">
        <x:v>ชวนชิม</x:v>
      </x:c>
      <x:c r="C57" s="52" t="n">
        <x:v>1</x:v>
      </x:c>
      <x:c r="D57" s="52" t="n">
        <x:v>3</x:v>
      </x:c>
      <x:c r="E57" s="52"/>
      <x:c r="F57" s="66">
        <x:f t="shared" si="0"/>
      </x:c>
      <x:c r="G57" s="53"/>
      <x:c r="H57" s="53"/>
      <x:c r="I57" s="53"/>
      <x:c r="J57" s="60" t="n">
        <x:f>IF(COUNTA(C57:E57,G57:I57)=0,"",C57*$Q$2+(D57+E57)*$Q$3+G57*$Q$2+(H57+I57)*$Q$3)</x:f>
        <x:v>280</x:v>
      </x:c>
      <x:c r="K57" s="61" t="n">
        <x:v>0</x:v>
      </x:c>
      <x:c r="L57" s="62" t="n">
        <x:f>IF(J57="","",MAX(J57-IF(K57="",0,K57),0))</x:f>
        <x:v>280</x:v>
      </x:c>
      <x:c r="M57" s="59" t="str">
        <x:f>IF(J57="","",IF(K57&gt;=J57,"จ่ายแล้ว",IF(K57&gt;0,"จ่ายบางส่วน","ยังไม่ได้จ่าย")))</x:f>
        <x:v>ยังไม่ได้จ่าย</x:v>
      </x:c>
      <x:c r="N57" s="22" t="str">
        <x:v>โอน</x:v>
      </x:c>
    </x:row>
    <x:row r="58" ht="21" customHeight="1">
      <x:c r="A58" s="22" t="str">
        <x:v>54</x:v>
      </x:c>
      <x:c r="B58" s="22" t="str">
        <x:v>ชวนชิม</x:v>
      </x:c>
      <x:c r="C58" s="52"/>
      <x:c r="D58" s="52"/>
      <x:c r="E58" s="52" t="n">
        <x:v>2</x:v>
      </x:c>
      <x:c r="F58" s="66">
        <x:f t="shared" si="0"/>
      </x:c>
      <x:c r="G58" s="53"/>
      <x:c r="H58" s="53"/>
      <x:c r="I58" s="53"/>
      <x:c r="J58" s="60" t="n">
        <x:f>IF(COUNTA(C58:E58,G58:I58)=0,"",C58*$Q$2+(D58+E58)*$Q$3+G58*$Q$2+(H58+I58)*$Q$3)</x:f>
        <x:v>120</x:v>
      </x:c>
      <x:c r="K58" s="61" t="n">
        <x:v>0</x:v>
      </x:c>
      <x:c r="L58" s="62" t="n">
        <x:f>IF(J58="","",MAX(J58-IF(K58="",0,K58),0))</x:f>
        <x:v>120</x:v>
      </x:c>
      <x:c r="M58" s="59" t="str">
        <x:f>IF(J58="","",IF(K58&gt;=J58,"จ่ายแล้ว",IF(K58&gt;0,"จ่ายบางส่วน","ยังไม่ได้จ่าย")))</x:f>
        <x:v>ยังไม่ได้จ่าย</x:v>
      </x:c>
      <x:c r="N58" s="22"/>
    </x:row>
    <x:row r="59" ht="21" customHeight="1">
      <x:c r="A59" s="22" t="str">
        <x:v>55</x:v>
      </x:c>
      <x:c r="B59" s="22" t="str">
        <x:v>ชวนชิม</x:v>
      </x:c>
      <x:c r="C59" s="52"/>
      <x:c r="D59" s="52"/>
      <x:c r="E59" s="52" t="n">
        <x:v>1</x:v>
      </x:c>
      <x:c r="F59" s="66">
        <x:f t="shared" si="0"/>
      </x:c>
      <x:c r="G59" s="53"/>
      <x:c r="H59" s="53"/>
      <x:c r="I59" s="53"/>
      <x:c r="J59" s="60" t="n">
        <x:f>IF(COUNTA(C59:E59,G59:I59)=0,"",C59*$Q$2+(D59+E59)*$Q$3+G59*$Q$2+(H59+I59)*$Q$3)</x:f>
        <x:v>60</x:v>
      </x:c>
      <x:c r="K59" s="61" t="n">
        <x:v>0</x:v>
      </x:c>
      <x:c r="L59" s="62" t="n">
        <x:f>IF(J59="","",MAX(J59-IF(K59="",0,K59),0))</x:f>
        <x:v>60</x:v>
      </x:c>
      <x:c r="M59" s="59" t="str">
        <x:f>IF(J59="","",IF(K59&gt;=J59,"จ่ายแล้ว",IF(K59&gt;0,"จ่ายบางส่วน","ยังไม่ได้จ่าย")))</x:f>
        <x:v>ยังไม่ได้จ่าย</x:v>
      </x:c>
      <x:c r="N59" s="22"/>
    </x:row>
    <x:row r="60" ht="21" customHeight="1">
      <x:c r="A60" s="22" t="str">
        <x:v>56</x:v>
      </x:c>
      <x:c r="B60" s="22" t="str">
        <x:v>ชวนชิม</x:v>
      </x:c>
      <x:c r="C60" s="52"/>
      <x:c r="D60" s="52"/>
      <x:c r="E60" s="52" t="n">
        <x:v>3</x:v>
      </x:c>
      <x:c r="F60" s="66">
        <x:f t="shared" si="0"/>
      </x:c>
      <x:c r="G60" s="53"/>
      <x:c r="H60" s="53"/>
      <x:c r="I60" s="53"/>
      <x:c r="J60" s="60" t="n">
        <x:f>IF(COUNTA(C60:E60,G60:I60)=0,"",C60*$Q$2+(D60+E60)*$Q$3+G60*$Q$2+(H60+I60)*$Q$3)</x:f>
        <x:v>180</x:v>
      </x:c>
      <x:c r="K60" s="61" t="n">
        <x:v>0</x:v>
      </x:c>
      <x:c r="L60" s="62" t="n">
        <x:f>IF(J60="","",MAX(J60-IF(K60="",0,K60),0))</x:f>
        <x:v>180</x:v>
      </x:c>
      <x:c r="M60" s="59" t="str">
        <x:f>IF(J60="","",IF(K60&gt;=J60,"จ่ายแล้ว",IF(K60&gt;0,"จ่ายบางส่วน","ยังไม่ได้จ่าย")))</x:f>
        <x:v>ยังไม่ได้จ่าย</x:v>
      </x:c>
      <x:c r="N60" s="22"/>
    </x:row>
    <x:row r="61" ht="21" customHeight="1">
      <x:c r="A61" s="22" t="str">
        <x:v>57</x:v>
      </x:c>
      <x:c r="B61" s="22" t="str">
        <x:v>ชวนชิม</x:v>
      </x:c>
      <x:c r="C61" s="52"/>
      <x:c r="D61" s="52"/>
      <x:c r="E61" s="52"/>
      <x:c r="F61" s="66">
        <x:f t="shared" si="0"/>
      </x:c>
      <x:c r="G61" s="53"/>
      <x:c r="H61" s="53"/>
      <x:c r="I61" s="53"/>
      <x:c r="J61" s="60" t="str">
        <x:f>IF(COUNTA(C61:E61,G61:I61)=0,"",C61*$Q$2+(D61+E61)*$Q$3+G61*$Q$2+(H61+I61)*$Q$3)</x:f>
      </x:c>
      <x:c r="K61" s="61"/>
      <x:c r="L61" s="62" t="str">
        <x:f>IF(J61="","",MAX(J61-IF(K61="",0,K61),0))</x:f>
      </x:c>
      <x:c r="M61" s="59" t="str">
        <x:f>IF(J61="","",IF(K61&gt;=J61,"จ่ายแล้ว",IF(K61&gt;0,"จ่ายบางส่วน","ยังไม่ได้จ่าย")))</x:f>
      </x:c>
      <x:c r="N61" s="22"/>
    </x:row>
    <x:row r="62" ht="21" customHeight="1">
      <x:c r="A62" s="22" t="str">
        <x:v>58</x:v>
      </x:c>
      <x:c r="B62" s="22" t="str">
        <x:v>ชวนชิม</x:v>
      </x:c>
      <x:c r="C62" s="52"/>
      <x:c r="D62" s="52"/>
      <x:c r="E62" s="52"/>
      <x:c r="F62" s="66">
        <x:f t="shared" si="0"/>
      </x:c>
      <x:c r="G62" s="53"/>
      <x:c r="H62" s="53"/>
      <x:c r="I62" s="53"/>
      <x:c r="J62" s="60" t="str">
        <x:f>IF(COUNTA(C62:E62,G62:I62)=0,"",C62*$Q$2+(D62+E62)*$Q$3+G62*$Q$2+(H62+I62)*$Q$3)</x:f>
      </x:c>
      <x:c r="K62" s="61"/>
      <x:c r="L62" s="62" t="str">
        <x:f>IF(J62="","",MAX(J62-IF(K62="",0,K62),0))</x:f>
      </x:c>
      <x:c r="M62" s="59" t="str">
        <x:f>IF(J62="","",IF(K62&gt;=J62,"จ่ายแล้ว",IF(K62&gt;0,"จ่ายบางส่วน","ยังไม่ได้จ่าย")))</x:f>
      </x:c>
      <x:c r="N62" s="22"/>
    </x:row>
    <x:row r="63" ht="21" customHeight="1">
      <x:c r="A63" s="22" t="str">
        <x:v>59</x:v>
      </x:c>
      <x:c r="B63" s="22" t="str">
        <x:v>ชวนชิม</x:v>
      </x:c>
      <x:c r="C63" s="52"/>
      <x:c r="D63" s="52"/>
      <x:c r="E63" s="52"/>
      <x:c r="F63" s="66">
        <x:f t="shared" si="0"/>
      </x:c>
      <x:c r="G63" s="53"/>
      <x:c r="H63" s="53"/>
      <x:c r="I63" s="53"/>
      <x:c r="J63" s="60" t="str">
        <x:f>IF(COUNTA(C63:E63,G63:I63)=0,"",C63*$Q$2+(D63+E63)*$Q$3+G63*$Q$2+(H63+I63)*$Q$3)</x:f>
      </x:c>
      <x:c r="K63" s="61"/>
      <x:c r="L63" s="62" t="str">
        <x:f>IF(J63="","",MAX(J63-IF(K63="",0,K63),0))</x:f>
      </x:c>
      <x:c r="M63" s="59" t="str">
        <x:f>IF(J63="","",IF(K63&gt;=J63,"จ่ายแล้ว",IF(K63&gt;0,"จ่ายบางส่วน","ยังไม่ได้จ่าย")))</x:f>
      </x:c>
      <x:c r="N63" s="22"/>
    </x:row>
    <x:row r="64" ht="21" customHeight="1">
      <x:c r="A64" s="22" t="str">
        <x:v>60</x:v>
      </x:c>
      <x:c r="B64" s="22" t="str">
        <x:v>ชวนชิม</x:v>
      </x:c>
      <x:c r="C64" s="52"/>
      <x:c r="D64" s="52"/>
      <x:c r="E64" s="52"/>
      <x:c r="F64" s="66">
        <x:f t="shared" si="0"/>
      </x:c>
      <x:c r="G64" s="53"/>
      <x:c r="H64" s="53"/>
      <x:c r="I64" s="53"/>
      <x:c r="J64" s="60" t="str">
        <x:f>IF(COUNTA(C64:E64,G64:I64)=0,"",C64*$Q$2+(D64+E64)*$Q$3+G64*$Q$2+(H64+I64)*$Q$3)</x:f>
      </x:c>
      <x:c r="K64" s="61"/>
      <x:c r="L64" s="62" t="str">
        <x:f>IF(J64="","",MAX(J64-IF(K64="",0,K64),0))</x:f>
      </x:c>
      <x:c r="M64" s="59" t="str">
        <x:f>IF(J64="","",IF(K64&gt;=J64,"จ่ายแล้ว",IF(K64&gt;0,"จ่ายบางส่วน","ยังไม่ได้จ่าย")))</x:f>
      </x:c>
      <x:c r="N64" s="22"/>
    </x:row>
    <x:row r="65" ht="21" customHeight="1">
      <x:c r="A65" s="22" t="str">
        <x:v>61</x:v>
      </x:c>
      <x:c r="B65" s="22" t="str">
        <x:v>ชวนชิม</x:v>
      </x:c>
      <x:c r="C65" s="52"/>
      <x:c r="D65" s="52"/>
      <x:c r="E65" s="52"/>
      <x:c r="F65" s="66">
        <x:f t="shared" si="0"/>
      </x:c>
      <x:c r="G65" s="53"/>
      <x:c r="H65" s="53"/>
      <x:c r="I65" s="53"/>
      <x:c r="J65" s="60" t="str">
        <x:f>IF(COUNTA(C65:E65,G65:I65)=0,"",C65*$Q$2+(D65+E65)*$Q$3+G65*$Q$2+(H65+I65)*$Q$3)</x:f>
      </x:c>
      <x:c r="K65" s="61"/>
      <x:c r="L65" s="62" t="str">
        <x:f>IF(J65="","",MAX(J65-IF(K65="",0,K65),0))</x:f>
      </x:c>
      <x:c r="M65" s="59" t="str">
        <x:f>IF(J65="","",IF(K65&gt;=J65,"จ่ายแล้ว",IF(K65&gt;0,"จ่ายบางส่วน","ยังไม่ได้จ่าย")))</x:f>
      </x:c>
      <x:c r="N65" s="22"/>
    </x:row>
    <x:row r="66" ht="21" customHeight="1">
      <x:c r="A66" s="22" t="str">
        <x:v>62</x:v>
      </x:c>
      <x:c r="B66" s="22" t="str">
        <x:v>ชวนชิม</x:v>
      </x:c>
      <x:c r="C66" s="52"/>
      <x:c r="D66" s="52"/>
      <x:c r="E66" s="52"/>
      <x:c r="F66" s="66">
        <x:f t="shared" si="0"/>
      </x:c>
      <x:c r="G66" s="53"/>
      <x:c r="H66" s="53"/>
      <x:c r="I66" s="53"/>
      <x:c r="J66" s="60" t="str">
        <x:f>IF(COUNTA(C66:E66,G66:I66)=0,"",C66*$Q$2+(D66+E66)*$Q$3+G66*$Q$2+(H66+I66)*$Q$3)</x:f>
      </x:c>
      <x:c r="K66" s="61"/>
      <x:c r="L66" s="62" t="str">
        <x:f>IF(J66="","",MAX(J66-IF(K66="",0,K66),0))</x:f>
      </x:c>
      <x:c r="M66" s="59" t="str">
        <x:f>IF(J66="","",IF(K66&gt;=J66,"จ่ายแล้ว",IF(K66&gt;0,"จ่ายบางส่วน","ยังไม่ได้จ่าย")))</x:f>
      </x:c>
      <x:c r="N66" s="22"/>
    </x:row>
    <x:row r="67" ht="21" customHeight="1">
      <x:c r="A67" s="22" t="str">
        <x:v>63</x:v>
      </x:c>
      <x:c r="B67" s="22" t="str">
        <x:v>ชวนชิม</x:v>
      </x:c>
      <x:c r="C67" s="52"/>
      <x:c r="D67" s="52"/>
      <x:c r="E67" s="52"/>
      <x:c r="F67" s="66">
        <x:f t="shared" si="0"/>
      </x:c>
      <x:c r="G67" s="53"/>
      <x:c r="H67" s="53"/>
      <x:c r="I67" s="53"/>
      <x:c r="J67" s="60" t="str">
        <x:f>IF(COUNTA(C67:E67,G67:I67)=0,"",C67*$Q$2+(D67+E67)*$Q$3+G67*$Q$2+(H67+I67)*$Q$3)</x:f>
      </x:c>
      <x:c r="K67" s="61"/>
      <x:c r="L67" s="62" t="str">
        <x:f>IF(J67="","",MAX(J67-IF(K67="",0,K67),0))</x:f>
      </x:c>
      <x:c r="M67" s="59" t="str">
        <x:f>IF(J67="","",IF(K67&gt;=J67,"จ่ายแล้ว",IF(K67&gt;0,"จ่ายบางส่วน","ยังไม่ได้จ่าย")))</x:f>
      </x:c>
      <x:c r="N67" s="22"/>
    </x:row>
    <x:row r="68" ht="21" customHeight="1">
      <x:c r="A68" s="22" t="str">
        <x:v>64</x:v>
      </x:c>
      <x:c r="B68" s="22" t="str">
        <x:v>ชวนชิม</x:v>
      </x:c>
      <x:c r="C68" s="52"/>
      <x:c r="D68" s="52"/>
      <x:c r="E68" s="52"/>
      <x:c r="F68" s="66">
        <x:f t="shared" si="0"/>
      </x:c>
      <x:c r="G68" s="53"/>
      <x:c r="H68" s="53"/>
      <x:c r="I68" s="53"/>
      <x:c r="J68" s="60" t="str">
        <x:f>IF(COUNTA(C68:E68,G68:I68)=0,"",C68*$Q$2+(D68+E68)*$Q$3+G68*$Q$2+(H68+I68)*$Q$3)</x:f>
      </x:c>
      <x:c r="K68" s="61"/>
      <x:c r="L68" s="62" t="str">
        <x:f>IF(J68="","",MAX(J68-IF(K68="",0,K68),0))</x:f>
      </x:c>
      <x:c r="M68" s="59" t="str">
        <x:f>IF(J68="","",IF(K68&gt;=J68,"จ่ายแล้ว",IF(K68&gt;0,"จ่ายบางส่วน","ยังไม่ได้จ่าย")))</x:f>
      </x:c>
      <x:c r="N68" s="22"/>
    </x:row>
    <x:row r="69" ht="21" customHeight="1">
      <x:c r="A69"/>
      <x:c r="B69"/>
      <x:c r="C69"/>
      <x:c r="D69"/>
      <x:c r="E69"/>
      <x:c r="F69" t="str">
        <x:f t="shared" ref="F69:F132" si="1">IF(COUNTA(C69:E69)=0,"",C69*$J$2+(D69+E69)*$J$3)</x:f>
      </x:c>
      <x:c r="G69"/>
    </x:row>
    <x:row r="70" ht="21" customHeight="1">
      <x:c r="A70"/>
      <x:c r="B70"/>
      <x:c r="C70"/>
      <x:c r="D70"/>
      <x:c r="E70"/>
      <x:c r="F70">
        <x:f t="shared" si="1"/>
      </x:c>
      <x:c r="G70"/>
    </x:row>
    <x:row r="71" ht="21" customHeight="1">
      <x:c r="A71"/>
      <x:c r="B71"/>
      <x:c r="C71"/>
      <x:c r="D71"/>
      <x:c r="E71"/>
      <x:c r="F71">
        <x:f t="shared" si="1"/>
      </x:c>
      <x:c r="G71"/>
    </x:row>
    <x:row r="72" ht="21" customHeight="1">
      <x:c r="A72"/>
      <x:c r="B72"/>
      <x:c r="C72"/>
      <x:c r="D72"/>
      <x:c r="E72"/>
      <x:c r="F72">
        <x:f t="shared" si="1"/>
      </x:c>
      <x:c r="G72"/>
    </x:row>
    <x:row r="73" ht="21" customHeight="1">
      <x:c r="A73"/>
      <x:c r="B73"/>
      <x:c r="C73"/>
      <x:c r="D73"/>
      <x:c r="E73"/>
      <x:c r="F73">
        <x:f t="shared" si="1"/>
      </x:c>
      <x:c r="G73"/>
    </x:row>
    <x:row r="74" ht="21" customHeight="1">
      <x:c r="A74"/>
      <x:c r="B74"/>
      <x:c r="C74"/>
      <x:c r="D74"/>
      <x:c r="E74"/>
      <x:c r="F74">
        <x:f t="shared" si="1"/>
      </x:c>
      <x:c r="G74"/>
    </x:row>
    <x:row r="75" ht="21" customHeight="1">
      <x:c r="A75"/>
      <x:c r="B75"/>
      <x:c r="C75"/>
      <x:c r="D75"/>
      <x:c r="E75"/>
      <x:c r="F75">
        <x:f t="shared" si="1"/>
      </x:c>
      <x:c r="G75"/>
    </x:row>
    <x:row r="76" ht="21" customHeight="1">
      <x:c r="A76"/>
      <x:c r="B76"/>
      <x:c r="C76"/>
      <x:c r="D76"/>
      <x:c r="E76"/>
      <x:c r="F76">
        <x:f t="shared" si="1"/>
      </x:c>
      <x:c r="G76"/>
    </x:row>
    <x:row r="77" ht="21" customHeight="1">
      <x:c r="A77"/>
      <x:c r="B77"/>
      <x:c r="C77"/>
      <x:c r="D77"/>
      <x:c r="E77"/>
      <x:c r="F77">
        <x:f t="shared" si="1"/>
      </x:c>
      <x:c r="G77"/>
    </x:row>
    <x:row r="78" ht="21" customHeight="1">
      <x:c r="A78"/>
      <x:c r="B78"/>
      <x:c r="C78"/>
      <x:c r="D78"/>
      <x:c r="E78"/>
      <x:c r="F78">
        <x:f t="shared" si="1"/>
      </x:c>
      <x:c r="G78"/>
    </x:row>
    <x:row r="79" ht="21" customHeight="1">
      <x:c r="A79"/>
      <x:c r="B79"/>
      <x:c r="C79"/>
      <x:c r="D79"/>
      <x:c r="E79"/>
      <x:c r="F79">
        <x:f t="shared" si="1"/>
      </x:c>
      <x:c r="G79"/>
    </x:row>
    <x:row r="80" ht="21" customHeight="1">
      <x:c r="A80"/>
      <x:c r="B80"/>
      <x:c r="C80"/>
      <x:c r="D80"/>
      <x:c r="E80"/>
      <x:c r="F80">
        <x:f t="shared" si="1"/>
      </x:c>
      <x:c r="G80"/>
    </x:row>
    <x:row r="81" ht="21" customHeight="1">
      <x:c r="A81"/>
      <x:c r="B81"/>
      <x:c r="C81"/>
      <x:c r="D81"/>
      <x:c r="E81"/>
      <x:c r="F81">
        <x:f t="shared" si="1"/>
      </x:c>
      <x:c r="G81"/>
    </x:row>
    <x:row r="82" ht="21" customHeight="1">
      <x:c r="A82"/>
      <x:c r="B82"/>
      <x:c r="C82"/>
      <x:c r="D82"/>
      <x:c r="E82"/>
      <x:c r="F82">
        <x:f t="shared" si="1"/>
      </x:c>
      <x:c r="G82"/>
    </x:row>
    <x:row r="83" ht="21" customHeight="1">
      <x:c r="A83"/>
      <x:c r="B83"/>
      <x:c r="C83"/>
      <x:c r="D83"/>
      <x:c r="E83"/>
      <x:c r="F83">
        <x:f t="shared" si="1"/>
      </x:c>
      <x:c r="G83"/>
    </x:row>
    <x:row r="84" ht="21" customHeight="1">
      <x:c r="A84"/>
      <x:c r="B84"/>
      <x:c r="C84"/>
      <x:c r="D84"/>
      <x:c r="E84"/>
      <x:c r="F84">
        <x:f t="shared" si="1"/>
      </x:c>
      <x:c r="G84"/>
    </x:row>
    <x:row r="85" ht="21" customHeight="1">
      <x:c r="A85"/>
      <x:c r="B85"/>
      <x:c r="C85"/>
      <x:c r="D85"/>
      <x:c r="E85"/>
      <x:c r="F85">
        <x:f t="shared" si="1"/>
      </x:c>
      <x:c r="G85"/>
    </x:row>
    <x:row r="86" ht="21" customHeight="1">
      <x:c r="A86"/>
      <x:c r="B86"/>
      <x:c r="C86"/>
      <x:c r="D86"/>
      <x:c r="E86"/>
      <x:c r="F86">
        <x:f t="shared" si="1"/>
      </x:c>
      <x:c r="G86"/>
    </x:row>
    <x:row r="87" ht="21" customHeight="1">
      <x:c r="A87"/>
      <x:c r="B87"/>
      <x:c r="C87"/>
      <x:c r="D87"/>
      <x:c r="E87"/>
      <x:c r="F87">
        <x:f t="shared" si="1"/>
      </x:c>
      <x:c r="G87"/>
    </x:row>
    <x:row r="88" ht="21" customHeight="1">
      <x:c r="A88"/>
      <x:c r="B88"/>
      <x:c r="C88"/>
      <x:c r="D88"/>
      <x:c r="E88"/>
      <x:c r="F88">
        <x:f t="shared" si="1"/>
      </x:c>
      <x:c r="G88"/>
    </x:row>
    <x:row r="89" ht="21" customHeight="1">
      <x:c r="A89"/>
      <x:c r="B89"/>
      <x:c r="C89"/>
      <x:c r="D89"/>
      <x:c r="E89"/>
      <x:c r="F89">
        <x:f t="shared" si="1"/>
      </x:c>
      <x:c r="G89"/>
    </x:row>
    <x:row r="90" ht="21" customHeight="1">
      <x:c r="A90"/>
      <x:c r="B90"/>
      <x:c r="C90"/>
      <x:c r="D90"/>
      <x:c r="E90"/>
      <x:c r="F90">
        <x:f t="shared" si="1"/>
      </x:c>
      <x:c r="G90"/>
    </x:row>
    <x:row r="91" ht="21" customHeight="1">
      <x:c r="A91"/>
      <x:c r="B91"/>
      <x:c r="C91"/>
      <x:c r="D91"/>
      <x:c r="E91"/>
      <x:c r="F91">
        <x:f t="shared" si="1"/>
      </x:c>
      <x:c r="G91"/>
    </x:row>
    <x:row r="92" ht="21" customHeight="1">
      <x:c r="A92"/>
      <x:c r="B92"/>
      <x:c r="C92"/>
      <x:c r="D92"/>
      <x:c r="E92"/>
      <x:c r="F92">
        <x:f t="shared" si="1"/>
      </x:c>
      <x:c r="G92"/>
    </x:row>
    <x:row r="93" ht="21" customHeight="1">
      <x:c r="A93"/>
      <x:c r="B93"/>
      <x:c r="C93"/>
      <x:c r="D93"/>
      <x:c r="E93"/>
      <x:c r="F93">
        <x:f t="shared" si="1"/>
      </x:c>
      <x:c r="G93"/>
    </x:row>
    <x:row r="94" ht="21" customHeight="1">
      <x:c r="A94"/>
      <x:c r="B94"/>
      <x:c r="C94"/>
      <x:c r="D94"/>
      <x:c r="E94"/>
      <x:c r="F94">
        <x:f t="shared" si="1"/>
      </x:c>
      <x:c r="G94"/>
    </x:row>
    <x:row r="95" ht="21" customHeight="1">
      <x:c r="A95"/>
      <x:c r="B95"/>
      <x:c r="C95"/>
      <x:c r="D95"/>
      <x:c r="E95"/>
      <x:c r="F95">
        <x:f t="shared" si="1"/>
      </x:c>
      <x:c r="G95"/>
    </x:row>
    <x:row r="96" ht="21" customHeight="1">
      <x:c r="A96"/>
      <x:c r="B96"/>
      <x:c r="C96"/>
      <x:c r="D96"/>
      <x:c r="E96"/>
      <x:c r="F96">
        <x:f t="shared" si="1"/>
      </x:c>
      <x:c r="G96"/>
    </x:row>
    <x:row r="97" ht="21" customHeight="1">
      <x:c r="A97"/>
      <x:c r="B97"/>
      <x:c r="C97"/>
      <x:c r="D97"/>
      <x:c r="E97"/>
      <x:c r="F97">
        <x:f t="shared" si="1"/>
      </x:c>
      <x:c r="G97"/>
    </x:row>
    <x:row r="98" ht="21" customHeight="1">
      <x:c r="A98"/>
      <x:c r="B98"/>
      <x:c r="C98"/>
      <x:c r="D98"/>
      <x:c r="E98"/>
      <x:c r="F98">
        <x:f t="shared" si="1"/>
      </x:c>
      <x:c r="G98"/>
    </x:row>
    <x:row r="99" ht="21" customHeight="1">
      <x:c r="A99"/>
      <x:c r="B99"/>
      <x:c r="C99"/>
      <x:c r="D99"/>
      <x:c r="E99"/>
      <x:c r="F99">
        <x:f t="shared" si="1"/>
      </x:c>
      <x:c r="G99"/>
    </x:row>
    <x:row r="100" ht="21" customHeight="1">
      <x:c r="A100"/>
      <x:c r="B100"/>
      <x:c r="C100"/>
      <x:c r="D100"/>
      <x:c r="E100"/>
      <x:c r="F100">
        <x:f t="shared" si="1"/>
      </x:c>
      <x:c r="G100"/>
    </x:row>
    <x:row r="101" ht="21" customHeight="1">
      <x:c r="A101"/>
      <x:c r="B101"/>
      <x:c r="C101"/>
      <x:c r="D101"/>
      <x:c r="E101"/>
      <x:c r="F101">
        <x:f t="shared" si="1"/>
      </x:c>
      <x:c r="G101"/>
    </x:row>
    <x:row r="102" ht="21" customHeight="1">
      <x:c r="A102"/>
      <x:c r="B102"/>
      <x:c r="C102"/>
      <x:c r="D102"/>
      <x:c r="E102"/>
      <x:c r="F102">
        <x:f t="shared" si="1"/>
      </x:c>
      <x:c r="G102"/>
    </x:row>
    <x:row r="103" ht="21" customHeight="1">
      <x:c r="A103"/>
      <x:c r="B103"/>
      <x:c r="C103"/>
      <x:c r="D103"/>
      <x:c r="E103"/>
      <x:c r="F103">
        <x:f t="shared" si="1"/>
      </x:c>
      <x:c r="G103"/>
    </x:row>
    <x:row r="104" ht="21" customHeight="1">
      <x:c r="A104"/>
      <x:c r="B104"/>
      <x:c r="C104"/>
      <x:c r="D104"/>
      <x:c r="E104"/>
      <x:c r="F104">
        <x:f t="shared" si="1"/>
      </x:c>
      <x:c r="G104"/>
    </x:row>
    <x:row r="105" ht="21" customHeight="1">
      <x:c r="A105"/>
      <x:c r="B105"/>
      <x:c r="C105"/>
      <x:c r="D105"/>
      <x:c r="E105"/>
      <x:c r="F105">
        <x:f t="shared" si="1"/>
      </x:c>
      <x:c r="G105"/>
    </x:row>
    <x:row r="106" ht="21" customHeight="1">
      <x:c r="A106"/>
      <x:c r="B106"/>
      <x:c r="C106"/>
      <x:c r="D106"/>
      <x:c r="E106"/>
      <x:c r="F106">
        <x:f t="shared" si="1"/>
      </x:c>
      <x:c r="G106"/>
    </x:row>
    <x:row r="107" ht="21" customHeight="1">
      <x:c r="A107"/>
      <x:c r="B107"/>
      <x:c r="C107"/>
      <x:c r="D107"/>
      <x:c r="E107"/>
      <x:c r="F107">
        <x:f t="shared" si="1"/>
      </x:c>
      <x:c r="G107"/>
    </x:row>
    <x:row r="108" ht="21" customHeight="1">
      <x:c r="A108"/>
      <x:c r="B108"/>
      <x:c r="C108"/>
      <x:c r="D108"/>
      <x:c r="E108"/>
      <x:c r="F108">
        <x:f t="shared" si="1"/>
      </x:c>
      <x:c r="G108"/>
    </x:row>
    <x:row r="109" ht="21" customHeight="1">
      <x:c r="A109"/>
      <x:c r="B109"/>
      <x:c r="C109"/>
      <x:c r="D109"/>
      <x:c r="E109"/>
      <x:c r="F109">
        <x:f t="shared" si="1"/>
      </x:c>
      <x:c r="G109"/>
    </x:row>
    <x:row r="110" ht="21" customHeight="1">
      <x:c r="A110"/>
      <x:c r="B110"/>
      <x:c r="C110"/>
      <x:c r="D110"/>
      <x:c r="E110"/>
      <x:c r="F110">
        <x:f t="shared" si="1"/>
      </x:c>
      <x:c r="G110"/>
    </x:row>
    <x:row r="111" ht="21" customHeight="1">
      <x:c r="A111"/>
      <x:c r="B111"/>
      <x:c r="C111"/>
      <x:c r="D111"/>
      <x:c r="E111"/>
      <x:c r="F111">
        <x:f t="shared" si="1"/>
      </x:c>
      <x:c r="G111"/>
    </x:row>
    <x:row r="112" ht="21" customHeight="1">
      <x:c r="A112"/>
      <x:c r="B112"/>
      <x:c r="C112"/>
      <x:c r="D112"/>
      <x:c r="E112"/>
      <x:c r="F112">
        <x:f t="shared" si="1"/>
      </x:c>
      <x:c r="G112"/>
    </x:row>
    <x:row r="113" ht="21" customHeight="1">
      <x:c r="A113"/>
      <x:c r="B113"/>
      <x:c r="C113"/>
      <x:c r="D113"/>
      <x:c r="E113"/>
      <x:c r="F113">
        <x:f t="shared" si="1"/>
      </x:c>
      <x:c r="G113"/>
    </x:row>
    <x:row r="114" ht="21" customHeight="1">
      <x:c r="A114"/>
      <x:c r="B114"/>
      <x:c r="C114"/>
      <x:c r="D114"/>
      <x:c r="E114"/>
      <x:c r="F114">
        <x:f t="shared" si="1"/>
      </x:c>
      <x:c r="G114"/>
    </x:row>
    <x:row r="115" ht="21" customHeight="1">
      <x:c r="A115"/>
      <x:c r="B115"/>
      <x:c r="C115"/>
      <x:c r="D115"/>
      <x:c r="E115"/>
      <x:c r="F115">
        <x:f t="shared" si="1"/>
      </x:c>
      <x:c r="G115"/>
    </x:row>
    <x:row r="116" ht="21" customHeight="1">
      <x:c r="A116"/>
      <x:c r="B116"/>
      <x:c r="C116"/>
      <x:c r="D116"/>
      <x:c r="E116"/>
      <x:c r="F116">
        <x:f t="shared" si="1"/>
      </x:c>
      <x:c r="G116"/>
    </x:row>
    <x:row r="117" ht="21" customHeight="1">
      <x:c r="A117"/>
      <x:c r="B117"/>
      <x:c r="C117"/>
      <x:c r="D117"/>
      <x:c r="E117"/>
      <x:c r="F117">
        <x:f t="shared" si="1"/>
      </x:c>
      <x:c r="G117"/>
    </x:row>
    <x:row r="118" ht="21" customHeight="1">
      <x:c r="A118"/>
      <x:c r="B118"/>
      <x:c r="C118"/>
      <x:c r="D118"/>
      <x:c r="E118"/>
      <x:c r="F118">
        <x:f t="shared" si="1"/>
      </x:c>
      <x:c r="G118"/>
    </x:row>
    <x:row r="119" ht="21" customHeight="1">
      <x:c r="A119"/>
      <x:c r="B119"/>
      <x:c r="C119"/>
      <x:c r="D119"/>
      <x:c r="E119"/>
      <x:c r="F119">
        <x:f t="shared" si="1"/>
      </x:c>
      <x:c r="G119"/>
    </x:row>
    <x:row r="120" ht="21" customHeight="1">
      <x:c r="A120"/>
      <x:c r="B120"/>
      <x:c r="C120"/>
      <x:c r="D120"/>
      <x:c r="E120"/>
      <x:c r="F120">
        <x:f t="shared" si="1"/>
      </x:c>
      <x:c r="G120"/>
    </x:row>
    <x:row r="121" ht="21" customHeight="1">
      <x:c r="A121"/>
      <x:c r="B121"/>
      <x:c r="C121"/>
      <x:c r="D121"/>
      <x:c r="E121"/>
      <x:c r="F121">
        <x:f t="shared" si="1"/>
      </x:c>
      <x:c r="G121"/>
    </x:row>
    <x:row r="122" ht="21" customHeight="1">
      <x:c r="A122"/>
      <x:c r="B122"/>
      <x:c r="C122"/>
      <x:c r="D122"/>
      <x:c r="E122"/>
      <x:c r="F122">
        <x:f t="shared" si="1"/>
      </x:c>
      <x:c r="G122"/>
    </x:row>
    <x:row r="123" ht="21" customHeight="1">
      <x:c r="A123"/>
      <x:c r="B123"/>
      <x:c r="C123"/>
      <x:c r="D123"/>
      <x:c r="E123"/>
      <x:c r="F123">
        <x:f t="shared" si="1"/>
      </x:c>
      <x:c r="G123"/>
    </x:row>
    <x:row r="124" ht="21" customHeight="1">
      <x:c r="A124"/>
      <x:c r="B124"/>
      <x:c r="C124"/>
      <x:c r="D124"/>
      <x:c r="E124"/>
      <x:c r="F124">
        <x:f t="shared" si="1"/>
      </x:c>
      <x:c r="G124"/>
    </x:row>
    <x:row r="125" ht="21" customHeight="1">
      <x:c r="A125"/>
      <x:c r="B125"/>
      <x:c r="C125"/>
      <x:c r="D125"/>
      <x:c r="E125"/>
      <x:c r="F125">
        <x:f t="shared" si="1"/>
      </x:c>
      <x:c r="G125"/>
    </x:row>
    <x:row r="126" ht="21" customHeight="1">
      <x:c r="A126"/>
      <x:c r="B126"/>
      <x:c r="C126"/>
      <x:c r="D126"/>
      <x:c r="E126"/>
      <x:c r="F126">
        <x:f t="shared" si="1"/>
      </x:c>
      <x:c r="G126"/>
    </x:row>
    <x:row r="127" ht="21" customHeight="1">
      <x:c r="A127"/>
      <x:c r="B127"/>
      <x:c r="C127"/>
      <x:c r="D127"/>
      <x:c r="E127"/>
      <x:c r="F127">
        <x:f t="shared" si="1"/>
      </x:c>
      <x:c r="G127"/>
    </x:row>
    <x:row r="128" ht="21" customHeight="1">
      <x:c r="A128"/>
      <x:c r="B128"/>
      <x:c r="C128"/>
      <x:c r="D128"/>
      <x:c r="E128"/>
      <x:c r="F128">
        <x:f t="shared" si="1"/>
      </x:c>
      <x:c r="G128"/>
    </x:row>
    <x:row r="129" ht="21" customHeight="1">
      <x:c r="A129"/>
      <x:c r="B129"/>
      <x:c r="C129"/>
      <x:c r="D129"/>
      <x:c r="E129"/>
      <x:c r="F129">
        <x:f t="shared" si="1"/>
      </x:c>
      <x:c r="G129"/>
    </x:row>
    <x:row r="130" ht="21" customHeight="1">
      <x:c r="A130"/>
      <x:c r="B130"/>
      <x:c r="C130"/>
      <x:c r="D130"/>
      <x:c r="E130"/>
      <x:c r="F130">
        <x:f t="shared" si="1"/>
      </x:c>
      <x:c r="G130"/>
    </x:row>
    <x:row r="131" ht="21" customHeight="1">
      <x:c r="A131"/>
      <x:c r="B131"/>
      <x:c r="C131"/>
      <x:c r="D131"/>
      <x:c r="E131"/>
      <x:c r="F131">
        <x:f t="shared" si="1"/>
      </x:c>
      <x:c r="G131"/>
    </x:row>
    <x:row r="132" ht="21" customHeight="1">
      <x:c r="A132"/>
      <x:c r="B132"/>
      <x:c r="C132"/>
      <x:c r="D132"/>
      <x:c r="E132"/>
      <x:c r="F132">
        <x:f t="shared" si="1"/>
      </x:c>
      <x:c r="G132"/>
    </x:row>
    <x:row r="133" ht="21" customHeight="1">
      <x:c r="A133"/>
      <x:c r="B133"/>
      <x:c r="C133"/>
      <x:c r="D133"/>
      <x:c r="E133"/>
      <x:c r="F133" t="str">
        <x:f t="shared" ref="F133:F196" si="2">IF(COUNTA(C133:E133)=0,"",C133*$J$2+(D133+E133)*$J$3)</x:f>
      </x:c>
      <x:c r="G133"/>
    </x:row>
    <x:row r="134" ht="21" customHeight="1">
      <x:c r="A134"/>
      <x:c r="B134"/>
      <x:c r="C134"/>
      <x:c r="D134"/>
      <x:c r="E134"/>
      <x:c r="F134"/>
      <x:c r="G134"/>
    </x:row>
    <x:row r="135" s="18" customFormat="1" ht="21" customHeight="1">
      <x:c r="A135"/>
      <x:c r="B135"/>
      <x:c r="C135"/>
      <x:c r="D135"/>
      <x:c r="E135"/>
      <x:c r="F135">
        <x:f t="shared" si="2"/>
      </x:c>
      <x:c r="G135"/>
    </x:row>
    <x:row r="136" s="15" customFormat="1" ht="21" customHeight="1">
      <x:c r="A136"/>
      <x:c r="B136"/>
      <x:c r="C136"/>
      <x:c r="D136"/>
      <x:c r="E136"/>
      <x:c r="F136">
        <x:f t="shared" si="2"/>
      </x:c>
      <x:c r="G136"/>
    </x:row>
    <x:row r="137" ht="21" customHeight="1">
      <x:c r="A137"/>
      <x:c r="B137"/>
      <x:c r="C137"/>
      <x:c r="D137"/>
      <x:c r="E137"/>
      <x:c r="F137">
        <x:f t="shared" si="2"/>
      </x:c>
      <x:c r="G137"/>
    </x:row>
    <x:row r="138" ht="21" customHeight="1">
      <x:c r="A138"/>
      <x:c r="B138"/>
      <x:c r="C138"/>
      <x:c r="D138"/>
      <x:c r="E138"/>
      <x:c r="F138">
        <x:f t="shared" si="2"/>
      </x:c>
      <x:c r="G138"/>
    </x:row>
    <x:row r="139" ht="21" customHeight="1">
      <x:c r="A139"/>
      <x:c r="B139"/>
      <x:c r="C139"/>
      <x:c r="D139"/>
      <x:c r="E139"/>
      <x:c r="F139">
        <x:f t="shared" si="2"/>
      </x:c>
      <x:c r="G139"/>
    </x:row>
    <x:row r="140" ht="21" customHeight="1">
      <x:c r="A140"/>
      <x:c r="B140"/>
      <x:c r="C140"/>
      <x:c r="D140"/>
      <x:c r="E140"/>
      <x:c r="F140">
        <x:f t="shared" si="2"/>
      </x:c>
      <x:c r="G140"/>
    </x:row>
    <x:row r="141" ht="21" customHeight="1">
      <x:c r="A141"/>
      <x:c r="B141"/>
      <x:c r="C141"/>
      <x:c r="D141"/>
      <x:c r="E141"/>
      <x:c r="F141">
        <x:f t="shared" si="2"/>
      </x:c>
      <x:c r="G141"/>
    </x:row>
    <x:row r="142" ht="21" customHeight="1">
      <x:c r="A142"/>
      <x:c r="B142"/>
      <x:c r="C142"/>
      <x:c r="D142"/>
      <x:c r="E142"/>
      <x:c r="F142">
        <x:f t="shared" si="2"/>
      </x:c>
      <x:c r="G142"/>
    </x:row>
    <x:row r="143" ht="21" customHeight="1">
      <x:c r="A143"/>
      <x:c r="B143"/>
      <x:c r="C143"/>
      <x:c r="D143"/>
      <x:c r="E143"/>
      <x:c r="F143">
        <x:f t="shared" si="2"/>
      </x:c>
      <x:c r="G143"/>
    </x:row>
    <x:row r="144" ht="21" customHeight="1">
      <x:c r="A144"/>
      <x:c r="B144"/>
      <x:c r="C144"/>
      <x:c r="D144"/>
      <x:c r="E144"/>
      <x:c r="F144">
        <x:f t="shared" si="2"/>
      </x:c>
      <x:c r="G144"/>
    </x:row>
    <x:row r="145" ht="21" customHeight="1">
      <x:c r="A145"/>
      <x:c r="B145"/>
      <x:c r="C145"/>
      <x:c r="D145"/>
      <x:c r="E145"/>
      <x:c r="F145">
        <x:f t="shared" si="2"/>
      </x:c>
      <x:c r="G145"/>
    </x:row>
    <x:row r="146" ht="21" customHeight="1">
      <x:c r="A146"/>
      <x:c r="B146"/>
      <x:c r="C146"/>
      <x:c r="D146"/>
      <x:c r="E146"/>
      <x:c r="F146">
        <x:f t="shared" si="2"/>
      </x:c>
      <x:c r="G146"/>
    </x:row>
    <x:row r="147" ht="21" customHeight="1">
      <x:c r="A147"/>
      <x:c r="B147"/>
      <x:c r="C147"/>
      <x:c r="D147"/>
      <x:c r="E147"/>
      <x:c r="F147">
        <x:f t="shared" si="2"/>
      </x:c>
      <x:c r="G147"/>
    </x:row>
    <x:row r="148" ht="21" customHeight="1">
      <x:c r="A148"/>
      <x:c r="B148"/>
      <x:c r="C148"/>
      <x:c r="D148"/>
      <x:c r="E148"/>
      <x:c r="F148">
        <x:f t="shared" si="2"/>
      </x:c>
      <x:c r="G148"/>
    </x:row>
    <x:row r="149" ht="21" customHeight="1">
      <x:c r="A149"/>
      <x:c r="B149"/>
      <x:c r="C149"/>
      <x:c r="D149"/>
      <x:c r="E149"/>
      <x:c r="F149">
        <x:f t="shared" si="2"/>
      </x:c>
      <x:c r="G149"/>
    </x:row>
    <x:row r="150" ht="21" customHeight="1">
      <x:c r="A150"/>
      <x:c r="B150"/>
      <x:c r="C150"/>
      <x:c r="D150"/>
      <x:c r="E150"/>
      <x:c r="F150">
        <x:f t="shared" si="2"/>
      </x:c>
      <x:c r="G150"/>
    </x:row>
    <x:row r="151" ht="21" customHeight="1">
      <x:c r="A151"/>
      <x:c r="B151"/>
      <x:c r="C151"/>
      <x:c r="D151"/>
      <x:c r="E151"/>
      <x:c r="F151">
        <x:f t="shared" si="2"/>
      </x:c>
      <x:c r="G151"/>
    </x:row>
    <x:row r="152" ht="21" customHeight="1">
      <x:c r="A152"/>
      <x:c r="B152"/>
      <x:c r="C152"/>
      <x:c r="D152"/>
      <x:c r="E152"/>
      <x:c r="F152">
        <x:f t="shared" si="2"/>
      </x:c>
      <x:c r="G152"/>
    </x:row>
    <x:row r="153" ht="21" customHeight="1">
      <x:c r="A153"/>
      <x:c r="B153"/>
      <x:c r="C153"/>
      <x:c r="D153"/>
      <x:c r="E153"/>
      <x:c r="F153">
        <x:f t="shared" si="2"/>
      </x:c>
      <x:c r="G153"/>
    </x:row>
    <x:row r="154" ht="21" customHeight="1">
      <x:c r="A154"/>
      <x:c r="B154"/>
      <x:c r="C154"/>
      <x:c r="D154"/>
      <x:c r="E154"/>
      <x:c r="F154">
        <x:f t="shared" si="2"/>
      </x:c>
      <x:c r="G154"/>
    </x:row>
    <x:row r="155" ht="21" customHeight="1">
      <x:c r="A155"/>
      <x:c r="B155"/>
      <x:c r="C155"/>
      <x:c r="D155"/>
      <x:c r="E155"/>
      <x:c r="F155">
        <x:f t="shared" si="2"/>
      </x:c>
      <x:c r="G155"/>
    </x:row>
    <x:row r="156" ht="21" customHeight="1">
      <x:c r="A156"/>
      <x:c r="B156"/>
      <x:c r="C156"/>
      <x:c r="D156"/>
      <x:c r="E156"/>
      <x:c r="F156">
        <x:f t="shared" si="2"/>
      </x:c>
      <x:c r="G156"/>
    </x:row>
    <x:row r="157" ht="21" customHeight="1">
      <x:c r="A157"/>
      <x:c r="B157"/>
      <x:c r="C157"/>
      <x:c r="D157"/>
      <x:c r="E157"/>
      <x:c r="F157">
        <x:f t="shared" si="2"/>
      </x:c>
      <x:c r="G157"/>
    </x:row>
    <x:row r="158" ht="21" customHeight="1">
      <x:c r="A158"/>
      <x:c r="B158"/>
      <x:c r="C158"/>
      <x:c r="D158"/>
      <x:c r="E158"/>
      <x:c r="F158">
        <x:f t="shared" si="2"/>
      </x:c>
      <x:c r="G158"/>
    </x:row>
    <x:row r="159" ht="21" customHeight="1">
      <x:c r="A159"/>
      <x:c r="B159"/>
      <x:c r="C159"/>
      <x:c r="D159"/>
      <x:c r="E159"/>
      <x:c r="F159">
        <x:f t="shared" si="2"/>
      </x:c>
      <x:c r="G159"/>
    </x:row>
    <x:row r="160" ht="21" customHeight="1">
      <x:c r="A160"/>
      <x:c r="B160"/>
      <x:c r="C160"/>
      <x:c r="D160"/>
      <x:c r="E160"/>
      <x:c r="F160">
        <x:f t="shared" si="2"/>
      </x:c>
      <x:c r="G160"/>
    </x:row>
    <x:row r="161" ht="21" customHeight="1">
      <x:c r="A161"/>
      <x:c r="B161"/>
      <x:c r="C161"/>
      <x:c r="D161"/>
      <x:c r="E161"/>
      <x:c r="F161">
        <x:f t="shared" si="2"/>
      </x:c>
      <x:c r="G161"/>
    </x:row>
    <x:row r="162" ht="21" customHeight="1">
      <x:c r="A162"/>
      <x:c r="B162"/>
      <x:c r="C162"/>
      <x:c r="D162"/>
      <x:c r="E162"/>
      <x:c r="F162">
        <x:f t="shared" si="2"/>
      </x:c>
      <x:c r="G162"/>
    </x:row>
    <x:row r="163" ht="21" customHeight="1">
      <x:c r="A163"/>
      <x:c r="B163"/>
      <x:c r="C163"/>
      <x:c r="D163"/>
      <x:c r="E163"/>
      <x:c r="F163">
        <x:f t="shared" si="2"/>
      </x:c>
      <x:c r="G163"/>
    </x:row>
    <x:row r="164" ht="21" customHeight="1">
      <x:c r="A164"/>
      <x:c r="B164"/>
      <x:c r="C164"/>
      <x:c r="D164"/>
      <x:c r="E164"/>
      <x:c r="F164">
        <x:f t="shared" si="2"/>
      </x:c>
      <x:c r="G164"/>
    </x:row>
    <x:row r="165" ht="21" customHeight="1">
      <x:c r="A165"/>
      <x:c r="B165"/>
      <x:c r="C165"/>
      <x:c r="D165"/>
      <x:c r="E165"/>
      <x:c r="F165">
        <x:f t="shared" si="2"/>
      </x:c>
      <x:c r="G165"/>
    </x:row>
    <x:row r="166" ht="21" customHeight="1">
      <x:c r="A166"/>
      <x:c r="B166"/>
      <x:c r="C166"/>
      <x:c r="D166"/>
      <x:c r="E166"/>
      <x:c r="F166">
        <x:f t="shared" si="2"/>
      </x:c>
      <x:c r="G166"/>
    </x:row>
    <x:row r="167" ht="21" customHeight="1">
      <x:c r="A167"/>
      <x:c r="B167"/>
      <x:c r="C167"/>
      <x:c r="D167"/>
      <x:c r="E167"/>
      <x:c r="F167">
        <x:f t="shared" si="2"/>
      </x:c>
      <x:c r="G167"/>
    </x:row>
    <x:row r="168" ht="21" customHeight="1">
      <x:c r="A168"/>
      <x:c r="B168"/>
      <x:c r="C168"/>
      <x:c r="D168"/>
      <x:c r="E168"/>
      <x:c r="F168">
        <x:f t="shared" si="2"/>
      </x:c>
      <x:c r="G168"/>
    </x:row>
    <x:row r="169" ht="21" customHeight="1">
      <x:c r="A169"/>
      <x:c r="B169"/>
      <x:c r="C169"/>
      <x:c r="D169"/>
      <x:c r="E169"/>
      <x:c r="F169">
        <x:f t="shared" si="2"/>
      </x:c>
      <x:c r="G169"/>
    </x:row>
    <x:row r="170" ht="21" customHeight="1">
      <x:c r="A170"/>
      <x:c r="B170"/>
      <x:c r="C170"/>
      <x:c r="D170"/>
      <x:c r="E170"/>
      <x:c r="F170">
        <x:f t="shared" si="2"/>
      </x:c>
      <x:c r="G170"/>
    </x:row>
    <x:row r="171" ht="21" customHeight="1">
      <x:c r="A171"/>
      <x:c r="B171"/>
      <x:c r="C171"/>
      <x:c r="D171"/>
      <x:c r="E171"/>
      <x:c r="F171"/>
      <x:c r="G171"/>
    </x:row>
    <x:row r="172" ht="21" customHeight="1">
      <x:c r="A172"/>
      <x:c r="B172"/>
      <x:c r="C172"/>
      <x:c r="D172"/>
      <x:c r="E172"/>
      <x:c r="F172">
        <x:f t="shared" si="2"/>
      </x:c>
      <x:c r="G172"/>
    </x:row>
    <x:row r="173" ht="21" customHeight="1">
      <x:c r="A173"/>
      <x:c r="B173"/>
      <x:c r="C173"/>
      <x:c r="D173"/>
      <x:c r="E173"/>
      <x:c r="F173">
        <x:f t="shared" si="2"/>
      </x:c>
      <x:c r="G173"/>
    </x:row>
    <x:row r="174" s="15" customFormat="1" ht="21" customHeight="1">
      <x:c r="A174"/>
      <x:c r="B174"/>
      <x:c r="C174"/>
      <x:c r="D174"/>
      <x:c r="E174"/>
      <x:c r="F174">
        <x:f t="shared" si="2"/>
      </x:c>
      <x:c r="G174"/>
    </x:row>
    <x:row r="175" ht="21" customHeight="1">
      <x:c r="A175"/>
      <x:c r="B175"/>
      <x:c r="C175"/>
      <x:c r="D175"/>
      <x:c r="E175"/>
      <x:c r="F175">
        <x:f t="shared" si="2"/>
      </x:c>
      <x:c r="G175"/>
    </x:row>
    <x:row r="176" ht="21" customHeight="1">
      <x:c r="A176"/>
      <x:c r="B176"/>
      <x:c r="C176"/>
      <x:c r="D176"/>
      <x:c r="E176"/>
      <x:c r="F176">
        <x:f t="shared" si="2"/>
      </x:c>
      <x:c r="G176"/>
    </x:row>
    <x:row r="177" ht="21" customHeight="1">
      <x:c r="A177"/>
      <x:c r="B177"/>
      <x:c r="C177"/>
      <x:c r="D177"/>
      <x:c r="E177"/>
      <x:c r="F177">
        <x:f t="shared" si="2"/>
      </x:c>
      <x:c r="G177"/>
    </x:row>
    <x:row r="178" ht="21" customHeight="1">
      <x:c r="A178"/>
      <x:c r="B178"/>
      <x:c r="C178"/>
      <x:c r="D178"/>
      <x:c r="E178"/>
      <x:c r="F178">
        <x:f t="shared" si="2"/>
      </x:c>
      <x:c r="G178"/>
    </x:row>
    <x:row r="179" ht="21" customHeight="1">
      <x:c r="A179"/>
      <x:c r="B179"/>
      <x:c r="C179"/>
      <x:c r="D179"/>
      <x:c r="E179"/>
      <x:c r="F179">
        <x:f t="shared" si="2"/>
      </x:c>
      <x:c r="G179"/>
    </x:row>
    <x:row r="180" ht="21" customHeight="1">
      <x:c r="A180"/>
      <x:c r="B180"/>
      <x:c r="C180"/>
      <x:c r="D180"/>
      <x:c r="E180"/>
      <x:c r="F180">
        <x:f t="shared" si="2"/>
      </x:c>
      <x:c r="G180"/>
    </x:row>
    <x:row r="181" ht="21" customHeight="1">
      <x:c r="A181"/>
      <x:c r="B181"/>
      <x:c r="C181"/>
      <x:c r="D181"/>
      <x:c r="E181"/>
      <x:c r="F181">
        <x:f t="shared" si="2"/>
      </x:c>
      <x:c r="G181"/>
    </x:row>
    <x:row r="182" ht="21" customHeight="1">
      <x:c r="A182"/>
      <x:c r="B182"/>
      <x:c r="C182"/>
      <x:c r="D182"/>
      <x:c r="E182"/>
      <x:c r="F182">
        <x:f t="shared" si="2"/>
      </x:c>
      <x:c r="G182"/>
    </x:row>
    <x:row r="183" ht="21" customHeight="1">
      <x:c r="A183"/>
      <x:c r="B183"/>
      <x:c r="C183"/>
      <x:c r="D183"/>
      <x:c r="E183"/>
      <x:c r="F183">
        <x:f t="shared" si="2"/>
      </x:c>
      <x:c r="G183"/>
    </x:row>
    <x:row r="184" ht="21" customHeight="1">
      <x:c r="A184"/>
      <x:c r="B184"/>
      <x:c r="C184"/>
      <x:c r="D184"/>
      <x:c r="E184"/>
      <x:c r="F184">
        <x:f t="shared" si="2"/>
      </x:c>
      <x:c r="G184"/>
    </x:row>
    <x:row r="185" ht="21" customHeight="1">
      <x:c r="A185"/>
      <x:c r="B185"/>
      <x:c r="C185"/>
      <x:c r="D185"/>
      <x:c r="E185"/>
      <x:c r="F185">
        <x:f t="shared" si="2"/>
      </x:c>
      <x:c r="G185"/>
    </x:row>
    <x:row r="186" ht="21" customHeight="1">
      <x:c r="A186"/>
      <x:c r="B186"/>
      <x:c r="C186"/>
      <x:c r="D186"/>
      <x:c r="E186"/>
      <x:c r="F186">
        <x:f t="shared" si="2"/>
      </x:c>
      <x:c r="G186"/>
    </x:row>
    <x:row r="187" ht="21" customHeight="1">
      <x:c r="A187"/>
      <x:c r="B187"/>
      <x:c r="C187"/>
      <x:c r="D187"/>
      <x:c r="E187"/>
      <x:c r="F187">
        <x:f t="shared" si="2"/>
      </x:c>
      <x:c r="G187"/>
    </x:row>
    <x:row r="188" ht="21" customHeight="1">
      <x:c r="A188"/>
      <x:c r="B188"/>
      <x:c r="C188"/>
      <x:c r="D188"/>
      <x:c r="E188"/>
      <x:c r="F188">
        <x:f t="shared" si="2"/>
      </x:c>
      <x:c r="G188"/>
    </x:row>
    <x:row r="189" ht="21" customHeight="1">
      <x:c r="A189"/>
      <x:c r="B189"/>
      <x:c r="C189"/>
      <x:c r="D189"/>
      <x:c r="E189"/>
      <x:c r="F189">
        <x:f t="shared" si="2"/>
      </x:c>
      <x:c r="G189"/>
    </x:row>
    <x:row r="190" ht="21" customHeight="1">
      <x:c r="A190"/>
      <x:c r="B190"/>
      <x:c r="C190"/>
      <x:c r="D190"/>
      <x:c r="E190"/>
      <x:c r="F190">
        <x:f t="shared" si="2"/>
      </x:c>
      <x:c r="G190"/>
    </x:row>
    <x:row r="191" ht="21" customHeight="1">
      <x:c r="A191"/>
      <x:c r="B191"/>
      <x:c r="C191"/>
      <x:c r="D191"/>
      <x:c r="E191"/>
      <x:c r="F191">
        <x:f t="shared" si="2"/>
      </x:c>
      <x:c r="G191"/>
    </x:row>
    <x:row r="192" ht="21" customHeight="1">
      <x:c r="A192"/>
      <x:c r="B192"/>
      <x:c r="C192"/>
      <x:c r="D192"/>
      <x:c r="E192"/>
      <x:c r="F192">
        <x:f t="shared" si="2"/>
      </x:c>
      <x:c r="G192"/>
    </x:row>
    <x:row r="193" ht="21" customHeight="1">
      <x:c r="A193"/>
      <x:c r="B193"/>
      <x:c r="C193"/>
      <x:c r="D193"/>
      <x:c r="E193"/>
      <x:c r="F193">
        <x:f t="shared" si="2"/>
      </x:c>
      <x:c r="G193"/>
    </x:row>
    <x:row r="194" ht="21" customHeight="1">
      <x:c r="A194"/>
      <x:c r="B194"/>
      <x:c r="C194"/>
      <x:c r="D194"/>
      <x:c r="E194"/>
      <x:c r="F194">
        <x:f t="shared" si="2"/>
      </x:c>
      <x:c r="G194"/>
    </x:row>
    <x:row r="195" ht="21" customHeight="1">
      <x:c r="A195"/>
      <x:c r="B195"/>
      <x:c r="C195"/>
      <x:c r="D195"/>
      <x:c r="E195"/>
      <x:c r="F195">
        <x:f t="shared" si="2"/>
      </x:c>
      <x:c r="G195"/>
    </x:row>
    <x:row r="196" ht="21" customHeight="1">
      <x:c r="A196"/>
      <x:c r="B196"/>
      <x:c r="C196"/>
      <x:c r="D196"/>
      <x:c r="E196"/>
      <x:c r="F196">
        <x:f t="shared" si="2"/>
      </x:c>
      <x:c r="G196"/>
    </x:row>
    <x:row r="197" ht="21" customHeight="1">
      <x:c r="A197"/>
      <x:c r="B197"/>
      <x:c r="C197"/>
      <x:c r="D197"/>
      <x:c r="E197"/>
      <x:c r="F197" t="str">
        <x:f t="shared" ref="F197:F260" si="3">IF(COUNTA(C197:E197)=0,"",C197*$J$2+(D197+E197)*$J$3)</x:f>
      </x:c>
      <x:c r="G197"/>
    </x:row>
    <x:row r="198" ht="21" customHeight="1">
      <x:c r="A198"/>
      <x:c r="B198"/>
      <x:c r="C198"/>
      <x:c r="D198"/>
      <x:c r="E198"/>
      <x:c r="F198">
        <x:f t="shared" si="3"/>
      </x:c>
      <x:c r="G198"/>
    </x:row>
    <x:row r="199" ht="21" customHeight="1">
      <x:c r="A199"/>
      <x:c r="B199"/>
      <x:c r="C199"/>
      <x:c r="D199"/>
      <x:c r="E199"/>
      <x:c r="F199">
        <x:f t="shared" si="3"/>
      </x:c>
      <x:c r="G199"/>
    </x:row>
    <x:row r="200" ht="21" customHeight="1">
      <x:c r="A200"/>
      <x:c r="B200"/>
      <x:c r="C200"/>
      <x:c r="D200"/>
      <x:c r="E200"/>
      <x:c r="F200">
        <x:f t="shared" si="3"/>
      </x:c>
      <x:c r="G200"/>
    </x:row>
    <x:row r="201" ht="21" customHeight="1">
      <x:c r="A201"/>
      <x:c r="B201"/>
      <x:c r="C201"/>
      <x:c r="D201"/>
      <x:c r="E201"/>
      <x:c r="F201">
        <x:f t="shared" si="3"/>
      </x:c>
      <x:c r="G201"/>
    </x:row>
    <x:row r="202" ht="21" customHeight="1">
      <x:c r="A202"/>
      <x:c r="B202"/>
      <x:c r="C202"/>
      <x:c r="D202"/>
      <x:c r="E202"/>
      <x:c r="F202">
        <x:f t="shared" si="3"/>
      </x:c>
      <x:c r="G202"/>
    </x:row>
    <x:row r="203" ht="21" customHeight="1">
      <x:c r="A203"/>
      <x:c r="B203"/>
      <x:c r="C203"/>
      <x:c r="D203"/>
      <x:c r="E203"/>
      <x:c r="F203">
        <x:f t="shared" si="3"/>
      </x:c>
      <x:c r="G203"/>
    </x:row>
    <x:row r="204" ht="21" customHeight="1">
      <x:c r="A204"/>
      <x:c r="B204"/>
      <x:c r="C204"/>
      <x:c r="D204"/>
      <x:c r="E204"/>
      <x:c r="F204">
        <x:f t="shared" si="3"/>
      </x:c>
      <x:c r="G204"/>
    </x:row>
    <x:row r="205" ht="21" customHeight="1">
      <x:c r="A205"/>
      <x:c r="B205"/>
      <x:c r="C205"/>
      <x:c r="D205"/>
      <x:c r="E205"/>
      <x:c r="F205">
        <x:f t="shared" si="3"/>
      </x:c>
      <x:c r="G205"/>
    </x:row>
    <x:row r="206" ht="21" customHeight="1">
      <x:c r="A206"/>
      <x:c r="B206"/>
      <x:c r="C206"/>
      <x:c r="D206"/>
      <x:c r="E206"/>
      <x:c r="F206">
        <x:f t="shared" si="3"/>
      </x:c>
      <x:c r="G206"/>
    </x:row>
    <x:row r="207" ht="21" customHeight="1">
      <x:c r="A207"/>
      <x:c r="B207"/>
      <x:c r="C207"/>
      <x:c r="D207"/>
      <x:c r="E207"/>
      <x:c r="F207">
        <x:f t="shared" si="3"/>
      </x:c>
      <x:c r="G207"/>
    </x:row>
    <x:row r="208" ht="21" customHeight="1">
      <x:c r="A208"/>
      <x:c r="B208"/>
      <x:c r="C208"/>
      <x:c r="D208"/>
      <x:c r="E208"/>
      <x:c r="F208">
        <x:f t="shared" si="3"/>
      </x:c>
      <x:c r="G208"/>
    </x:row>
    <x:row r="209" ht="21" customHeight="1">
      <x:c r="A209"/>
      <x:c r="B209"/>
      <x:c r="C209"/>
      <x:c r="D209"/>
      <x:c r="E209"/>
      <x:c r="F209">
        <x:f t="shared" si="3"/>
      </x:c>
      <x:c r="G209"/>
    </x:row>
    <x:row r="210" ht="21" customHeight="1">
      <x:c r="A210"/>
      <x:c r="B210"/>
      <x:c r="C210"/>
      <x:c r="D210"/>
      <x:c r="E210"/>
      <x:c r="F210">
        <x:f t="shared" si="3"/>
      </x:c>
      <x:c r="G210"/>
    </x:row>
    <x:row r="211" ht="21" customHeight="1">
      <x:c r="A211"/>
      <x:c r="B211"/>
      <x:c r="C211"/>
      <x:c r="D211"/>
      <x:c r="E211"/>
      <x:c r="F211">
        <x:f t="shared" si="3"/>
      </x:c>
      <x:c r="G211"/>
    </x:row>
    <x:row r="212" ht="21" customHeight="1">
      <x:c r="A212"/>
      <x:c r="B212"/>
      <x:c r="C212"/>
      <x:c r="D212"/>
      <x:c r="E212"/>
      <x:c r="F212">
        <x:f t="shared" si="3"/>
      </x:c>
      <x:c r="G212"/>
    </x:row>
    <x:row r="213" ht="21" customHeight="1">
      <x:c r="A213"/>
      <x:c r="B213"/>
      <x:c r="C213"/>
      <x:c r="D213"/>
      <x:c r="E213"/>
      <x:c r="F213">
        <x:f t="shared" si="3"/>
      </x:c>
      <x:c r="G213"/>
    </x:row>
    <x:row r="214" ht="21" customHeight="1">
      <x:c r="A214"/>
      <x:c r="B214"/>
      <x:c r="C214"/>
      <x:c r="D214"/>
      <x:c r="E214"/>
      <x:c r="F214">
        <x:f t="shared" si="3"/>
      </x:c>
      <x:c r="G214"/>
    </x:row>
    <x:row r="215" ht="21" customHeight="1">
      <x:c r="A215"/>
      <x:c r="B215"/>
      <x:c r="C215"/>
      <x:c r="D215"/>
      <x:c r="E215"/>
      <x:c r="F215">
        <x:f t="shared" si="3"/>
      </x:c>
      <x:c r="G215"/>
    </x:row>
    <x:row r="216" ht="21" customHeight="1">
      <x:c r="A216"/>
      <x:c r="B216"/>
      <x:c r="C216"/>
      <x:c r="D216"/>
      <x:c r="E216"/>
      <x:c r="F216">
        <x:f t="shared" si="3"/>
      </x:c>
      <x:c r="G216"/>
    </x:row>
    <x:row r="217" ht="21" customHeight="1">
      <x:c r="A217"/>
      <x:c r="B217"/>
      <x:c r="C217"/>
      <x:c r="D217"/>
      <x:c r="E217"/>
      <x:c r="F217">
        <x:f t="shared" si="3"/>
      </x:c>
      <x:c r="G217"/>
    </x:row>
    <x:row r="218" ht="21" customHeight="1">
      <x:c r="A218"/>
      <x:c r="B218"/>
      <x:c r="C218"/>
      <x:c r="D218"/>
      <x:c r="E218"/>
      <x:c r="F218">
        <x:f t="shared" si="3"/>
      </x:c>
      <x:c r="G218"/>
    </x:row>
    <x:row r="219" ht="21" customHeight="1">
      <x:c r="A219"/>
      <x:c r="B219"/>
      <x:c r="C219"/>
      <x:c r="D219"/>
      <x:c r="E219"/>
      <x:c r="F219">
        <x:f t="shared" si="3"/>
      </x:c>
      <x:c r="G219"/>
    </x:row>
    <x:row r="220" ht="21" customHeight="1">
      <x:c r="A220"/>
      <x:c r="B220"/>
      <x:c r="C220"/>
      <x:c r="D220"/>
      <x:c r="E220"/>
      <x:c r="F220">
        <x:f t="shared" si="3"/>
      </x:c>
      <x:c r="G220"/>
    </x:row>
    <x:row r="221" ht="21" customHeight="1">
      <x:c r="A221"/>
      <x:c r="B221"/>
      <x:c r="C221"/>
      <x:c r="D221"/>
      <x:c r="E221"/>
      <x:c r="F221">
        <x:f t="shared" si="3"/>
      </x:c>
      <x:c r="G221"/>
    </x:row>
    <x:row r="222" ht="21" customHeight="1">
      <x:c r="A222"/>
      <x:c r="B222"/>
      <x:c r="C222"/>
      <x:c r="D222"/>
      <x:c r="E222"/>
      <x:c r="F222">
        <x:f t="shared" si="3"/>
      </x:c>
      <x:c r="G222"/>
    </x:row>
    <x:row r="223" ht="21" customHeight="1">
      <x:c r="A223"/>
      <x:c r="B223"/>
      <x:c r="C223"/>
      <x:c r="D223"/>
      <x:c r="E223"/>
      <x:c r="F223">
        <x:f t="shared" si="3"/>
      </x:c>
      <x:c r="G223"/>
    </x:row>
    <x:row r="224" ht="21" customHeight="1">
      <x:c r="A224"/>
      <x:c r="B224"/>
      <x:c r="C224"/>
      <x:c r="D224"/>
      <x:c r="E224"/>
      <x:c r="F224">
        <x:f t="shared" si="3"/>
      </x:c>
      <x:c r="G224"/>
    </x:row>
    <x:row r="225" ht="21" customHeight="1">
      <x:c r="A225"/>
      <x:c r="B225"/>
      <x:c r="C225"/>
      <x:c r="D225"/>
      <x:c r="E225"/>
      <x:c r="F225">
        <x:f t="shared" si="3"/>
      </x:c>
      <x:c r="G225"/>
    </x:row>
    <x:row r="226" ht="21" customHeight="1">
      <x:c r="A226"/>
      <x:c r="B226"/>
      <x:c r="C226"/>
      <x:c r="D226"/>
      <x:c r="E226"/>
      <x:c r="F226">
        <x:f t="shared" si="3"/>
      </x:c>
      <x:c r="G226"/>
    </x:row>
    <x:row r="227" ht="21" customHeight="1">
      <x:c r="A227"/>
      <x:c r="B227"/>
      <x:c r="C227"/>
      <x:c r="D227"/>
      <x:c r="E227"/>
      <x:c r="F227">
        <x:f t="shared" si="3"/>
      </x:c>
      <x:c r="G227"/>
    </x:row>
    <x:row r="228" ht="21" customHeight="1">
      <x:c r="A228"/>
      <x:c r="B228"/>
      <x:c r="C228"/>
      <x:c r="D228"/>
      <x:c r="E228"/>
      <x:c r="F228">
        <x:f t="shared" si="3"/>
      </x:c>
      <x:c r="G228"/>
    </x:row>
    <x:row r="229" ht="21" customHeight="1">
      <x:c r="A229"/>
      <x:c r="B229"/>
      <x:c r="C229"/>
      <x:c r="D229"/>
      <x:c r="E229"/>
      <x:c r="F229">
        <x:f t="shared" si="3"/>
      </x:c>
      <x:c r="G229"/>
    </x:row>
    <x:row r="230" ht="21" customHeight="1">
      <x:c r="A230"/>
      <x:c r="B230"/>
      <x:c r="C230"/>
      <x:c r="D230"/>
      <x:c r="E230"/>
      <x:c r="F230">
        <x:f t="shared" si="3"/>
      </x:c>
      <x:c r="G230"/>
    </x:row>
    <x:row r="231" ht="21" customHeight="1">
      <x:c r="A231"/>
      <x:c r="B231"/>
      <x:c r="C231"/>
      <x:c r="D231"/>
      <x:c r="E231"/>
      <x:c r="F231">
        <x:f t="shared" si="3"/>
      </x:c>
      <x:c r="G231"/>
    </x:row>
    <x:row r="232" ht="21" customHeight="1">
      <x:c r="A232"/>
      <x:c r="B232"/>
      <x:c r="C232"/>
      <x:c r="D232"/>
      <x:c r="E232"/>
      <x:c r="F232">
        <x:f t="shared" si="3"/>
      </x:c>
      <x:c r="G232"/>
    </x:row>
    <x:row r="233" ht="21" customHeight="1">
      <x:c r="A233"/>
      <x:c r="B233"/>
      <x:c r="C233"/>
      <x:c r="D233"/>
      <x:c r="E233"/>
      <x:c r="F233">
        <x:f t="shared" si="3"/>
      </x:c>
      <x:c r="G233"/>
    </x:row>
    <x:row r="234" ht="21" customHeight="1">
      <x:c r="A234"/>
      <x:c r="B234"/>
      <x:c r="C234"/>
      <x:c r="D234"/>
      <x:c r="E234"/>
      <x:c r="F234">
        <x:f t="shared" si="3"/>
      </x:c>
      <x:c r="G234"/>
    </x:row>
    <x:row r="235" ht="21" customHeight="1">
      <x:c r="A235"/>
      <x:c r="B235"/>
      <x:c r="C235"/>
      <x:c r="D235"/>
      <x:c r="E235"/>
      <x:c r="F235">
        <x:f t="shared" si="3"/>
      </x:c>
      <x:c r="G235"/>
    </x:row>
    <x:row r="236" ht="21" customHeight="1">
      <x:c r="A236"/>
      <x:c r="B236"/>
      <x:c r="C236"/>
      <x:c r="D236"/>
      <x:c r="E236"/>
      <x:c r="F236">
        <x:f t="shared" si="3"/>
      </x:c>
      <x:c r="G236"/>
    </x:row>
    <x:row r="237" ht="21" customHeight="1">
      <x:c r="A237"/>
      <x:c r="B237"/>
      <x:c r="C237"/>
      <x:c r="D237"/>
      <x:c r="E237"/>
      <x:c r="F237">
        <x:f t="shared" si="3"/>
      </x:c>
      <x:c r="G237"/>
    </x:row>
    <x:row r="238" ht="21" customHeight="1">
      <x:c r="A238"/>
      <x:c r="B238"/>
      <x:c r="C238"/>
      <x:c r="D238"/>
      <x:c r="E238"/>
      <x:c r="F238">
        <x:f t="shared" si="3"/>
      </x:c>
      <x:c r="G238"/>
    </x:row>
    <x:row r="239" ht="21" customHeight="1">
      <x:c r="A239"/>
      <x:c r="B239"/>
      <x:c r="C239"/>
      <x:c r="D239"/>
      <x:c r="E239"/>
      <x:c r="F239">
        <x:f t="shared" si="3"/>
      </x:c>
      <x:c r="G239"/>
    </x:row>
    <x:row r="240" ht="21" customHeight="1">
      <x:c r="A240"/>
      <x:c r="B240"/>
      <x:c r="C240"/>
      <x:c r="D240"/>
      <x:c r="E240"/>
      <x:c r="F240">
        <x:f t="shared" si="3"/>
      </x:c>
      <x:c r="G240"/>
    </x:row>
    <x:row r="241" ht="21" customHeight="1">
      <x:c r="A241"/>
      <x:c r="B241"/>
      <x:c r="C241"/>
      <x:c r="D241"/>
      <x:c r="E241"/>
      <x:c r="F241">
        <x:f t="shared" si="3"/>
      </x:c>
      <x:c r="G241"/>
    </x:row>
    <x:row r="242" ht="21" customHeight="1">
      <x:c r="A242"/>
      <x:c r="B242"/>
      <x:c r="C242"/>
      <x:c r="D242"/>
      <x:c r="E242"/>
      <x:c r="F242">
        <x:f t="shared" si="3"/>
      </x:c>
      <x:c r="G242"/>
    </x:row>
    <x:row r="243" ht="21" customHeight="1">
      <x:c r="A243"/>
      <x:c r="B243"/>
      <x:c r="C243"/>
      <x:c r="D243"/>
      <x:c r="E243"/>
      <x:c r="F243">
        <x:f t="shared" si="3"/>
      </x:c>
      <x:c r="G243"/>
    </x:row>
    <x:row r="244" ht="21" customHeight="1">
      <x:c r="A244"/>
      <x:c r="B244"/>
      <x:c r="C244"/>
      <x:c r="D244"/>
      <x:c r="E244"/>
      <x:c r="F244">
        <x:f t="shared" si="3"/>
      </x:c>
      <x:c r="G244"/>
    </x:row>
    <x:row r="245" ht="21" customHeight="1">
      <x:c r="A245"/>
      <x:c r="B245"/>
      <x:c r="C245"/>
      <x:c r="D245"/>
      <x:c r="E245"/>
      <x:c r="F245">
        <x:f t="shared" si="3"/>
      </x:c>
      <x:c r="G245"/>
    </x:row>
    <x:row r="246" ht="21" customHeight="1">
      <x:c r="A246"/>
      <x:c r="B246"/>
      <x:c r="C246"/>
      <x:c r="D246"/>
      <x:c r="E246"/>
      <x:c r="F246">
        <x:f t="shared" si="3"/>
      </x:c>
      <x:c r="G246"/>
    </x:row>
    <x:row r="247" ht="21" customHeight="1">
      <x:c r="A247"/>
      <x:c r="B247"/>
      <x:c r="C247"/>
      <x:c r="D247"/>
      <x:c r="E247"/>
      <x:c r="F247">
        <x:f t="shared" si="3"/>
      </x:c>
      <x:c r="G247"/>
    </x:row>
    <x:row r="248" ht="21" customHeight="1">
      <x:c r="A248"/>
      <x:c r="B248"/>
      <x:c r="C248"/>
      <x:c r="D248"/>
      <x:c r="E248"/>
      <x:c r="F248">
        <x:f t="shared" si="3"/>
      </x:c>
      <x:c r="G248"/>
    </x:row>
    <x:row r="249" ht="21" customHeight="1">
      <x:c r="A249"/>
      <x:c r="B249"/>
      <x:c r="C249"/>
      <x:c r="D249"/>
      <x:c r="E249"/>
      <x:c r="F249">
        <x:f t="shared" si="3"/>
      </x:c>
      <x:c r="G249"/>
    </x:row>
    <x:row r="250" ht="21" customHeight="1">
      <x:c r="A250"/>
      <x:c r="B250"/>
      <x:c r="C250"/>
      <x:c r="D250"/>
      <x:c r="E250"/>
      <x:c r="F250">
        <x:f t="shared" si="3"/>
      </x:c>
      <x:c r="G250"/>
    </x:row>
    <x:row r="251" ht="21" customHeight="1">
      <x:c r="A251"/>
      <x:c r="B251"/>
      <x:c r="C251"/>
      <x:c r="D251"/>
      <x:c r="E251"/>
      <x:c r="F251">
        <x:f t="shared" si="3"/>
      </x:c>
      <x:c r="G251"/>
    </x:row>
    <x:row r="252" ht="21" customHeight="1">
      <x:c r="A252"/>
      <x:c r="B252"/>
      <x:c r="C252"/>
      <x:c r="D252"/>
      <x:c r="E252"/>
      <x:c r="F252">
        <x:f t="shared" si="3"/>
      </x:c>
      <x:c r="G252"/>
    </x:row>
    <x:row r="253" ht="21" customHeight="1">
      <x:c r="A253"/>
      <x:c r="B253"/>
      <x:c r="C253"/>
      <x:c r="D253"/>
      <x:c r="E253"/>
      <x:c r="F253">
        <x:f t="shared" si="3"/>
      </x:c>
      <x:c r="G253"/>
    </x:row>
    <x:row r="254" ht="21" customHeight="1">
      <x:c r="A254"/>
      <x:c r="B254"/>
      <x:c r="C254"/>
      <x:c r="D254"/>
      <x:c r="E254"/>
      <x:c r="F254">
        <x:f t="shared" si="3"/>
      </x:c>
      <x:c r="G254"/>
    </x:row>
    <x:row r="255" ht="21" customHeight="1">
      <x:c r="A255"/>
      <x:c r="B255"/>
      <x:c r="C255"/>
      <x:c r="D255"/>
      <x:c r="E255"/>
      <x:c r="F255">
        <x:f t="shared" si="3"/>
      </x:c>
      <x:c r="G255"/>
    </x:row>
    <x:row r="256" ht="21" customHeight="1">
      <x:c r="A256"/>
      <x:c r="B256"/>
      <x:c r="C256"/>
      <x:c r="D256"/>
      <x:c r="E256"/>
      <x:c r="F256">
        <x:f t="shared" si="3"/>
      </x:c>
      <x:c r="G256"/>
    </x:row>
    <x:row r="257" ht="21" customHeight="1">
      <x:c r="A257"/>
      <x:c r="B257"/>
      <x:c r="C257"/>
      <x:c r="D257"/>
      <x:c r="E257"/>
      <x:c r="F257">
        <x:f t="shared" si="3"/>
      </x:c>
      <x:c r="G257"/>
    </x:row>
    <x:row r="258" ht="21" customHeight="1">
      <x:c r="A258"/>
      <x:c r="B258"/>
      <x:c r="C258"/>
      <x:c r="D258"/>
      <x:c r="E258"/>
      <x:c r="F258">
        <x:f t="shared" si="3"/>
      </x:c>
      <x:c r="G258"/>
    </x:row>
    <x:row r="259" ht="21" customHeight="1">
      <x:c r="A259"/>
      <x:c r="B259"/>
      <x:c r="C259"/>
      <x:c r="D259"/>
      <x:c r="E259"/>
      <x:c r="F259">
        <x:f t="shared" si="3"/>
      </x:c>
      <x:c r="G259"/>
    </x:row>
    <x:row r="260" ht="21" customHeight="1">
      <x:c r="A260"/>
      <x:c r="B260"/>
      <x:c r="C260"/>
      <x:c r="D260"/>
      <x:c r="E260"/>
      <x:c r="F260">
        <x:f t="shared" si="3"/>
      </x:c>
      <x:c r="G260"/>
    </x:row>
    <x:row r="261" ht="21" customHeight="1">
      <x:c r="A261"/>
      <x:c r="B261"/>
      <x:c r="C261"/>
      <x:c r="D261"/>
      <x:c r="E261"/>
      <x:c r="F261" t="str">
        <x:f t="shared" ref="F261:F324" si="4">IF(COUNTA(C261:E261)=0,"",C261*$J$2+(D261+E261)*$J$3)</x:f>
      </x:c>
      <x:c r="G261"/>
    </x:row>
    <x:row r="262" ht="21" customHeight="1">
      <x:c r="A262"/>
      <x:c r="B262"/>
      <x:c r="C262"/>
      <x:c r="D262"/>
      <x:c r="E262"/>
      <x:c r="F262">
        <x:f t="shared" si="4"/>
      </x:c>
      <x:c r="G262"/>
    </x:row>
    <x:row r="263" ht="21" customHeight="1">
      <x:c r="A263"/>
      <x:c r="B263"/>
      <x:c r="C263"/>
      <x:c r="D263"/>
      <x:c r="E263"/>
      <x:c r="F263">
        <x:f t="shared" si="4"/>
      </x:c>
      <x:c r="G263"/>
    </x:row>
    <x:row r="264" ht="21" customHeight="1">
      <x:c r="A264"/>
      <x:c r="B264"/>
      <x:c r="C264"/>
      <x:c r="D264"/>
      <x:c r="E264"/>
      <x:c r="F264">
        <x:f t="shared" si="4"/>
      </x:c>
      <x:c r="G264"/>
    </x:row>
    <x:row r="265" ht="21" customHeight="1">
      <x:c r="A265"/>
      <x:c r="B265"/>
      <x:c r="C265"/>
      <x:c r="D265"/>
      <x:c r="E265"/>
      <x:c r="F265">
        <x:f t="shared" si="4"/>
      </x:c>
      <x:c r="G265"/>
    </x:row>
    <x:row r="266" ht="21" customHeight="1">
      <x:c r="A266"/>
      <x:c r="B266"/>
      <x:c r="C266"/>
      <x:c r="D266"/>
      <x:c r="E266"/>
      <x:c r="F266">
        <x:f t="shared" si="4"/>
      </x:c>
      <x:c r="G266"/>
    </x:row>
    <x:row r="267" ht="21" customHeight="1">
      <x:c r="A267"/>
      <x:c r="B267"/>
      <x:c r="C267"/>
      <x:c r="D267"/>
      <x:c r="E267"/>
      <x:c r="F267">
        <x:f t="shared" si="4"/>
      </x:c>
      <x:c r="G267"/>
    </x:row>
    <x:row r="268" ht="21" customHeight="1">
      <x:c r="A268"/>
      <x:c r="B268"/>
      <x:c r="C268"/>
      <x:c r="D268"/>
      <x:c r="E268"/>
      <x:c r="F268">
        <x:f t="shared" si="4"/>
      </x:c>
      <x:c r="G268"/>
    </x:row>
    <x:row r="269" ht="21" customHeight="1">
      <x:c r="A269"/>
      <x:c r="B269"/>
      <x:c r="C269"/>
      <x:c r="D269"/>
      <x:c r="E269"/>
      <x:c r="F269">
        <x:f t="shared" si="4"/>
      </x:c>
      <x:c r="G269"/>
    </x:row>
    <x:row r="270" ht="21" customHeight="1">
      <x:c r="A270"/>
      <x:c r="B270"/>
      <x:c r="C270"/>
      <x:c r="D270"/>
      <x:c r="E270"/>
      <x:c r="F270">
        <x:f t="shared" si="4"/>
      </x:c>
      <x:c r="G270"/>
    </x:row>
    <x:row r="271" ht="21" customHeight="1">
      <x:c r="A271"/>
      <x:c r="B271"/>
      <x:c r="C271"/>
      <x:c r="D271"/>
      <x:c r="E271"/>
      <x:c r="F271">
        <x:f t="shared" si="4"/>
      </x:c>
      <x:c r="G271"/>
    </x:row>
    <x:row r="272" ht="21" customHeight="1">
      <x:c r="A272"/>
      <x:c r="B272"/>
      <x:c r="C272"/>
      <x:c r="D272"/>
      <x:c r="E272"/>
      <x:c r="F272">
        <x:f t="shared" si="4"/>
      </x:c>
      <x:c r="G272"/>
    </x:row>
    <x:row r="273" ht="21" customHeight="1">
      <x:c r="A273"/>
      <x:c r="B273"/>
      <x:c r="C273"/>
      <x:c r="D273"/>
      <x:c r="E273"/>
      <x:c r="F273">
        <x:f t="shared" si="4"/>
      </x:c>
      <x:c r="G273"/>
    </x:row>
    <x:row r="274" ht="21" customHeight="1">
      <x:c r="A274"/>
      <x:c r="B274"/>
      <x:c r="C274"/>
      <x:c r="D274"/>
      <x:c r="E274"/>
      <x:c r="F274">
        <x:f t="shared" si="4"/>
      </x:c>
      <x:c r="G274"/>
    </x:row>
    <x:row r="275" ht="21" customHeight="1">
      <x:c r="A275"/>
      <x:c r="B275"/>
      <x:c r="C275"/>
      <x:c r="D275"/>
      <x:c r="E275"/>
      <x:c r="F275">
        <x:f t="shared" si="4"/>
      </x:c>
      <x:c r="G275"/>
    </x:row>
    <x:row r="276" ht="21" customHeight="1">
      <x:c r="A276"/>
      <x:c r="B276"/>
      <x:c r="C276"/>
      <x:c r="D276"/>
      <x:c r="E276"/>
      <x:c r="F276">
        <x:f t="shared" si="4"/>
      </x:c>
      <x:c r="G276"/>
    </x:row>
    <x:row r="277" ht="21" customHeight="1">
      <x:c r="A277"/>
      <x:c r="B277"/>
      <x:c r="C277"/>
      <x:c r="D277"/>
      <x:c r="E277"/>
      <x:c r="F277">
        <x:f t="shared" si="4"/>
      </x:c>
      <x:c r="G277"/>
    </x:row>
    <x:row r="278" ht="21" customHeight="1">
      <x:c r="A278"/>
      <x:c r="B278"/>
      <x:c r="C278"/>
      <x:c r="D278"/>
      <x:c r="E278"/>
      <x:c r="F278">
        <x:f t="shared" si="4"/>
      </x:c>
      <x:c r="G278"/>
    </x:row>
    <x:row r="279" ht="21" customHeight="1">
      <x:c r="A279"/>
      <x:c r="B279"/>
      <x:c r="C279"/>
      <x:c r="D279"/>
      <x:c r="E279"/>
      <x:c r="F279">
        <x:f t="shared" si="4"/>
      </x:c>
      <x:c r="G279"/>
    </x:row>
    <x:row r="280" ht="21" customHeight="1">
      <x:c r="A280"/>
      <x:c r="B280"/>
      <x:c r="C280"/>
      <x:c r="D280"/>
      <x:c r="E280"/>
      <x:c r="F280">
        <x:f t="shared" si="4"/>
      </x:c>
      <x:c r="G280"/>
    </x:row>
    <x:row r="281" ht="21" customHeight="1">
      <x:c r="A281"/>
      <x:c r="B281"/>
      <x:c r="C281"/>
      <x:c r="D281"/>
      <x:c r="E281"/>
      <x:c r="F281">
        <x:f t="shared" si="4"/>
      </x:c>
      <x:c r="G281"/>
    </x:row>
    <x:row r="282" ht="21" customHeight="1">
      <x:c r="A282"/>
      <x:c r="B282"/>
      <x:c r="C282"/>
      <x:c r="D282"/>
      <x:c r="E282"/>
      <x:c r="F282">
        <x:f t="shared" si="4"/>
      </x:c>
      <x:c r="G282"/>
    </x:row>
    <x:row r="283" ht="21" customHeight="1">
      <x:c r="A283"/>
      <x:c r="B283"/>
      <x:c r="C283"/>
      <x:c r="D283"/>
      <x:c r="E283"/>
      <x:c r="F283">
        <x:f t="shared" si="4"/>
      </x:c>
      <x:c r="G283"/>
    </x:row>
    <x:row r="284" ht="21" customHeight="1">
      <x:c r="A284"/>
      <x:c r="B284"/>
      <x:c r="C284"/>
      <x:c r="D284"/>
      <x:c r="E284"/>
      <x:c r="F284">
        <x:f t="shared" si="4"/>
      </x:c>
      <x:c r="G284"/>
    </x:row>
    <x:row r="285" ht="21" customHeight="1">
      <x:c r="A285"/>
      <x:c r="B285"/>
      <x:c r="C285"/>
      <x:c r="D285"/>
      <x:c r="E285"/>
      <x:c r="F285">
        <x:f t="shared" si="4"/>
      </x:c>
      <x:c r="G285"/>
    </x:row>
    <x:row r="286" ht="21" customHeight="1">
      <x:c r="A286"/>
      <x:c r="B286"/>
      <x:c r="C286"/>
      <x:c r="D286"/>
      <x:c r="E286"/>
      <x:c r="F286">
        <x:f t="shared" si="4"/>
      </x:c>
      <x:c r="G286"/>
    </x:row>
    <x:row r="287" ht="21" customHeight="1">
      <x:c r="A287"/>
      <x:c r="B287"/>
      <x:c r="C287"/>
      <x:c r="D287"/>
      <x:c r="E287"/>
      <x:c r="F287">
        <x:f t="shared" si="4"/>
      </x:c>
      <x:c r="G287"/>
    </x:row>
    <x:row r="288" ht="21" customHeight="1">
      <x:c r="A288"/>
      <x:c r="B288"/>
      <x:c r="C288"/>
      <x:c r="D288"/>
      <x:c r="E288"/>
      <x:c r="F288">
        <x:f t="shared" si="4"/>
      </x:c>
      <x:c r="G288"/>
    </x:row>
    <x:row r="289" ht="21" customHeight="1">
      <x:c r="A289"/>
      <x:c r="B289"/>
      <x:c r="C289"/>
      <x:c r="D289"/>
      <x:c r="E289"/>
      <x:c r="F289">
        <x:f t="shared" si="4"/>
      </x:c>
      <x:c r="G289"/>
    </x:row>
    <x:row r="290" ht="21" customHeight="1">
      <x:c r="A290"/>
      <x:c r="B290"/>
      <x:c r="C290"/>
      <x:c r="D290"/>
      <x:c r="E290"/>
      <x:c r="F290">
        <x:f t="shared" si="4"/>
      </x:c>
      <x:c r="G290"/>
    </x:row>
    <x:row r="291" ht="21" customHeight="1">
      <x:c r="A291"/>
      <x:c r="B291"/>
      <x:c r="C291"/>
      <x:c r="D291"/>
      <x:c r="E291"/>
      <x:c r="F291">
        <x:f t="shared" si="4"/>
      </x:c>
      <x:c r="G291"/>
    </x:row>
    <x:row r="292" ht="21" customHeight="1">
      <x:c r="A292"/>
      <x:c r="B292"/>
      <x:c r="C292"/>
      <x:c r="D292"/>
      <x:c r="E292"/>
      <x:c r="F292">
        <x:f t="shared" si="4"/>
      </x:c>
      <x:c r="G292"/>
    </x:row>
    <x:row r="293" ht="21" customHeight="1">
      <x:c r="A293"/>
      <x:c r="B293"/>
      <x:c r="C293"/>
      <x:c r="D293"/>
      <x:c r="E293"/>
      <x:c r="F293">
        <x:f t="shared" si="4"/>
      </x:c>
      <x:c r="G293"/>
    </x:row>
    <x:row r="294" s="15" customFormat="1" ht="21" customHeight="1">
      <x:c r="A294"/>
      <x:c r="B294"/>
      <x:c r="C294"/>
      <x:c r="D294"/>
      <x:c r="E294"/>
      <x:c r="F294">
        <x:f t="shared" si="4"/>
      </x:c>
      <x:c r="G294"/>
    </x:row>
    <x:row r="295" ht="21" customHeight="1">
      <x:c r="A295"/>
      <x:c r="B295"/>
      <x:c r="C295"/>
      <x:c r="D295"/>
      <x:c r="E295"/>
      <x:c r="F295">
        <x:f t="shared" si="4"/>
      </x:c>
      <x:c r="G295"/>
    </x:row>
    <x:row r="296" ht="21" customHeight="1">
      <x:c r="A296"/>
      <x:c r="B296"/>
      <x:c r="C296"/>
      <x:c r="D296"/>
      <x:c r="E296"/>
      <x:c r="F296">
        <x:f t="shared" si="4"/>
      </x:c>
      <x:c r="G296"/>
    </x:row>
    <x:row r="297" ht="21" customHeight="1">
      <x:c r="A297"/>
      <x:c r="B297"/>
      <x:c r="C297"/>
      <x:c r="D297"/>
      <x:c r="E297"/>
      <x:c r="F297">
        <x:f t="shared" si="4"/>
      </x:c>
      <x:c r="G297"/>
    </x:row>
    <x:row r="298" ht="21" customHeight="1">
      <x:c r="A298"/>
      <x:c r="B298"/>
      <x:c r="C298"/>
      <x:c r="D298"/>
      <x:c r="E298"/>
      <x:c r="F298">
        <x:f t="shared" si="4"/>
      </x:c>
      <x:c r="G298"/>
    </x:row>
    <x:row r="299" ht="21" customHeight="1">
      <x:c r="A299"/>
      <x:c r="B299"/>
      <x:c r="C299"/>
      <x:c r="D299"/>
      <x:c r="E299"/>
      <x:c r="F299">
        <x:f t="shared" si="4"/>
      </x:c>
      <x:c r="G299"/>
    </x:row>
    <x:row r="300" ht="21" customHeight="1">
      <x:c r="A300"/>
      <x:c r="B300"/>
      <x:c r="C300"/>
      <x:c r="D300"/>
      <x:c r="E300"/>
      <x:c r="F300">
        <x:f t="shared" si="4"/>
      </x:c>
      <x:c r="G300"/>
    </x:row>
    <x:row r="301" ht="21" customHeight="1">
      <x:c r="A301"/>
      <x:c r="B301"/>
      <x:c r="C301"/>
      <x:c r="D301"/>
      <x:c r="E301"/>
      <x:c r="F301">
        <x:f t="shared" si="4"/>
      </x:c>
      <x:c r="G301"/>
    </x:row>
    <x:row r="302" ht="21" customHeight="1">
      <x:c r="A302"/>
      <x:c r="B302"/>
      <x:c r="C302"/>
      <x:c r="D302"/>
      <x:c r="E302"/>
      <x:c r="F302">
        <x:f t="shared" si="4"/>
      </x:c>
      <x:c r="G302"/>
    </x:row>
    <x:row r="303" ht="21" customHeight="1">
      <x:c r="A303"/>
      <x:c r="B303"/>
      <x:c r="C303"/>
      <x:c r="D303"/>
      <x:c r="E303"/>
      <x:c r="F303">
        <x:f t="shared" si="4"/>
      </x:c>
      <x:c r="G303"/>
    </x:row>
    <x:row r="304" ht="21" customHeight="1">
      <x:c r="A304"/>
      <x:c r="B304"/>
      <x:c r="C304"/>
      <x:c r="D304"/>
      <x:c r="E304"/>
      <x:c r="F304">
        <x:f t="shared" si="4"/>
      </x:c>
      <x:c r="G304"/>
    </x:row>
    <x:row r="305" ht="21" customHeight="1">
      <x:c r="A305"/>
      <x:c r="B305"/>
      <x:c r="C305"/>
      <x:c r="D305"/>
      <x:c r="E305"/>
      <x:c r="F305">
        <x:f t="shared" si="4"/>
      </x:c>
      <x:c r="G305"/>
    </x:row>
    <x:row r="306" ht="21" customHeight="1">
      <x:c r="A306"/>
      <x:c r="B306"/>
      <x:c r="C306"/>
      <x:c r="D306"/>
      <x:c r="E306"/>
      <x:c r="F306">
        <x:f t="shared" si="4"/>
      </x:c>
      <x:c r="G306"/>
    </x:row>
    <x:row r="307" ht="21" customHeight="1">
      <x:c r="A307"/>
      <x:c r="B307"/>
      <x:c r="C307"/>
      <x:c r="D307"/>
      <x:c r="E307"/>
      <x:c r="F307">
        <x:f t="shared" si="4"/>
      </x:c>
      <x:c r="G307"/>
    </x:row>
    <x:row r="308" ht="21" customHeight="1">
      <x:c r="A308"/>
      <x:c r="B308"/>
      <x:c r="C308"/>
      <x:c r="D308"/>
      <x:c r="E308"/>
      <x:c r="F308">
        <x:f t="shared" si="4"/>
      </x:c>
      <x:c r="G308"/>
    </x:row>
    <x:row r="309" ht="21" customHeight="1">
      <x:c r="A309"/>
      <x:c r="B309"/>
      <x:c r="C309"/>
      <x:c r="D309"/>
      <x:c r="E309"/>
      <x:c r="F309">
        <x:f t="shared" si="4"/>
      </x:c>
      <x:c r="G309"/>
    </x:row>
    <x:row r="310" ht="21" customHeight="1">
      <x:c r="A310"/>
      <x:c r="B310"/>
      <x:c r="C310"/>
      <x:c r="D310"/>
      <x:c r="E310"/>
      <x:c r="F310">
        <x:f t="shared" si="4"/>
      </x:c>
      <x:c r="G310"/>
    </x:row>
    <x:row r="311" ht="21" customHeight="1">
      <x:c r="A311"/>
      <x:c r="B311"/>
      <x:c r="C311"/>
      <x:c r="D311"/>
      <x:c r="E311"/>
      <x:c r="F311">
        <x:f t="shared" si="4"/>
      </x:c>
      <x:c r="G311"/>
    </x:row>
    <x:row r="312" ht="21" customHeight="1">
      <x:c r="A312"/>
      <x:c r="B312"/>
      <x:c r="C312"/>
      <x:c r="D312"/>
      <x:c r="E312"/>
      <x:c r="F312">
        <x:f t="shared" si="4"/>
      </x:c>
      <x:c r="G312"/>
    </x:row>
    <x:row r="313" ht="21" customHeight="1">
      <x:c r="A313"/>
      <x:c r="B313"/>
      <x:c r="C313"/>
      <x:c r="D313"/>
      <x:c r="E313"/>
      <x:c r="F313">
        <x:f t="shared" si="4"/>
      </x:c>
      <x:c r="G313"/>
    </x:row>
    <x:row r="314" ht="21" customHeight="1">
      <x:c r="A314"/>
      <x:c r="B314"/>
      <x:c r="C314"/>
      <x:c r="D314"/>
      <x:c r="E314"/>
      <x:c r="F314">
        <x:f t="shared" si="4"/>
      </x:c>
      <x:c r="G314"/>
    </x:row>
    <x:row r="315" ht="21" customHeight="1">
      <x:c r="A315"/>
      <x:c r="B315"/>
      <x:c r="C315"/>
      <x:c r="D315"/>
      <x:c r="E315"/>
      <x:c r="F315">
        <x:f t="shared" si="4"/>
      </x:c>
      <x:c r="G315"/>
    </x:row>
    <x:row r="316" ht="21" customHeight="1">
      <x:c r="A316"/>
      <x:c r="B316"/>
      <x:c r="C316"/>
      <x:c r="D316"/>
      <x:c r="E316"/>
      <x:c r="F316">
        <x:f t="shared" si="4"/>
      </x:c>
      <x:c r="G316"/>
    </x:row>
    <x:row r="317" ht="21" customHeight="1">
      <x:c r="A317"/>
      <x:c r="B317"/>
      <x:c r="C317"/>
      <x:c r="D317"/>
      <x:c r="E317"/>
      <x:c r="F317">
        <x:f t="shared" si="4"/>
      </x:c>
      <x:c r="G317"/>
    </x:row>
    <x:row r="318" ht="21" customHeight="1">
      <x:c r="A318"/>
      <x:c r="B318"/>
      <x:c r="C318"/>
      <x:c r="D318"/>
      <x:c r="E318"/>
      <x:c r="F318">
        <x:f t="shared" si="4"/>
      </x:c>
      <x:c r="G318"/>
    </x:row>
    <x:row r="319" ht="21" customHeight="1">
      <x:c r="A319"/>
      <x:c r="B319"/>
      <x:c r="C319"/>
      <x:c r="D319"/>
      <x:c r="E319"/>
      <x:c r="F319">
        <x:f t="shared" si="4"/>
      </x:c>
      <x:c r="G319"/>
    </x:row>
    <x:row r="320" ht="21" customHeight="1">
      <x:c r="A320"/>
      <x:c r="B320"/>
      <x:c r="C320"/>
      <x:c r="D320"/>
      <x:c r="E320"/>
      <x:c r="F320">
        <x:f t="shared" si="4"/>
      </x:c>
      <x:c r="G320"/>
    </x:row>
    <x:row r="321" ht="21" customHeight="1">
      <x:c r="A321"/>
      <x:c r="B321"/>
      <x:c r="C321"/>
      <x:c r="D321"/>
      <x:c r="E321"/>
      <x:c r="F321">
        <x:f t="shared" si="4"/>
      </x:c>
      <x:c r="G321"/>
    </x:row>
    <x:row r="322" ht="21" customHeight="1">
      <x:c r="A322"/>
      <x:c r="B322"/>
      <x:c r="C322"/>
      <x:c r="D322"/>
      <x:c r="E322"/>
      <x:c r="F322">
        <x:f t="shared" si="4"/>
      </x:c>
      <x:c r="G322"/>
    </x:row>
    <x:row r="323" ht="21" customHeight="1">
      <x:c r="A323"/>
      <x:c r="B323"/>
      <x:c r="C323"/>
      <x:c r="D323"/>
      <x:c r="E323"/>
      <x:c r="F323">
        <x:f t="shared" si="4"/>
      </x:c>
      <x:c r="G323"/>
    </x:row>
    <x:row r="324" ht="21" customHeight="1">
      <x:c r="A324"/>
      <x:c r="B324"/>
      <x:c r="C324"/>
      <x:c r="D324"/>
      <x:c r="E324"/>
      <x:c r="F324">
        <x:f t="shared" si="4"/>
      </x:c>
      <x:c r="G324"/>
    </x:row>
    <x:row r="325" ht="21" customHeight="1">
      <x:c r="A325"/>
      <x:c r="B325"/>
      <x:c r="C325"/>
      <x:c r="D325"/>
      <x:c r="E325"/>
      <x:c r="F325" t="str">
        <x:f t="shared" ref="F325:F388" si="5">IF(COUNTA(C325:E325)=0,"",C325*$J$2+(D325+E325)*$J$3)</x:f>
      </x:c>
      <x:c r="G325"/>
    </x:row>
    <x:row r="326" ht="21" customHeight="1">
      <x:c r="A326"/>
      <x:c r="B326"/>
      <x:c r="C326"/>
      <x:c r="D326"/>
      <x:c r="E326"/>
      <x:c r="F326">
        <x:f t="shared" si="5"/>
      </x:c>
      <x:c r="G326"/>
    </x:row>
    <x:row r="327" ht="21" customHeight="1">
      <x:c r="A327"/>
      <x:c r="B327"/>
      <x:c r="C327"/>
      <x:c r="D327"/>
      <x:c r="E327"/>
      <x:c r="F327">
        <x:f t="shared" si="5"/>
      </x:c>
      <x:c r="G327"/>
    </x:row>
    <x:row r="328" ht="21" customHeight="1">
      <x:c r="A328"/>
      <x:c r="B328"/>
      <x:c r="C328"/>
      <x:c r="D328"/>
      <x:c r="E328"/>
      <x:c r="F328">
        <x:f t="shared" si="5"/>
      </x:c>
      <x:c r="G328"/>
    </x:row>
    <x:row r="329" ht="21" customHeight="1">
      <x:c r="A329"/>
      <x:c r="B329"/>
      <x:c r="C329"/>
      <x:c r="D329"/>
      <x:c r="E329"/>
      <x:c r="F329">
        <x:f t="shared" si="5"/>
      </x:c>
      <x:c r="G329"/>
    </x:row>
    <x:row r="330" ht="21" customHeight="1">
      <x:c r="A330"/>
      <x:c r="B330"/>
      <x:c r="C330"/>
      <x:c r="D330"/>
      <x:c r="E330"/>
      <x:c r="F330">
        <x:f t="shared" si="5"/>
      </x:c>
      <x:c r="G330"/>
    </x:row>
    <x:row r="331" ht="21" customHeight="1">
      <x:c r="A331"/>
      <x:c r="B331"/>
      <x:c r="C331"/>
      <x:c r="D331"/>
      <x:c r="E331"/>
      <x:c r="F331">
        <x:f t="shared" si="5"/>
      </x:c>
      <x:c r="G331"/>
    </x:row>
    <x:row r="332" ht="21" customHeight="1">
      <x:c r="A332"/>
      <x:c r="B332"/>
      <x:c r="C332"/>
      <x:c r="D332"/>
      <x:c r="E332"/>
      <x:c r="F332">
        <x:f t="shared" si="5"/>
      </x:c>
      <x:c r="G332"/>
    </x:row>
    <x:row r="333" ht="21" customHeight="1">
      <x:c r="A333"/>
      <x:c r="B333"/>
      <x:c r="C333"/>
      <x:c r="D333"/>
      <x:c r="E333"/>
      <x:c r="F333">
        <x:f t="shared" si="5"/>
      </x:c>
      <x:c r="G333"/>
    </x:row>
    <x:row r="334" ht="21" customHeight="1">
      <x:c r="A334"/>
      <x:c r="B334"/>
      <x:c r="C334"/>
      <x:c r="D334"/>
      <x:c r="E334"/>
      <x:c r="F334">
        <x:f t="shared" si="5"/>
      </x:c>
      <x:c r="G334"/>
    </x:row>
    <x:row r="335" ht="21" customHeight="1">
      <x:c r="A335"/>
      <x:c r="B335"/>
      <x:c r="C335"/>
      <x:c r="D335"/>
      <x:c r="E335"/>
      <x:c r="F335">
        <x:f t="shared" si="5"/>
      </x:c>
      <x:c r="G335"/>
    </x:row>
    <x:row r="336" ht="21" customHeight="1">
      <x:c r="A336"/>
      <x:c r="B336"/>
      <x:c r="C336"/>
      <x:c r="D336"/>
      <x:c r="E336"/>
      <x:c r="F336">
        <x:f t="shared" si="5"/>
      </x:c>
      <x:c r="G336"/>
    </x:row>
    <x:row r="337" ht="21" customHeight="1">
      <x:c r="A337"/>
      <x:c r="B337"/>
      <x:c r="C337"/>
      <x:c r="D337"/>
      <x:c r="E337"/>
      <x:c r="F337">
        <x:f t="shared" si="5"/>
      </x:c>
      <x:c r="G337"/>
    </x:row>
    <x:row r="338" ht="21" customHeight="1">
      <x:c r="A338"/>
      <x:c r="B338"/>
      <x:c r="C338"/>
      <x:c r="D338"/>
      <x:c r="E338"/>
      <x:c r="F338">
        <x:f t="shared" si="5"/>
      </x:c>
      <x:c r="G338"/>
    </x:row>
    <x:row r="339" ht="21" customHeight="1">
      <x:c r="A339"/>
      <x:c r="B339"/>
      <x:c r="C339"/>
      <x:c r="D339"/>
      <x:c r="E339"/>
      <x:c r="F339">
        <x:f t="shared" si="5"/>
      </x:c>
      <x:c r="G339"/>
    </x:row>
    <x:row r="340" ht="21" customHeight="1">
      <x:c r="A340"/>
      <x:c r="B340"/>
      <x:c r="C340"/>
      <x:c r="D340"/>
      <x:c r="E340"/>
      <x:c r="F340">
        <x:f t="shared" si="5"/>
      </x:c>
      <x:c r="G340"/>
    </x:row>
    <x:row r="341" ht="21" customHeight="1">
      <x:c r="A341"/>
      <x:c r="B341"/>
      <x:c r="C341"/>
      <x:c r="D341"/>
      <x:c r="E341"/>
      <x:c r="F341">
        <x:f t="shared" si="5"/>
      </x:c>
      <x:c r="G341"/>
    </x:row>
    <x:row r="342" ht="21" customHeight="1">
      <x:c r="A342"/>
      <x:c r="B342"/>
      <x:c r="C342"/>
      <x:c r="D342"/>
      <x:c r="E342"/>
      <x:c r="F342">
        <x:f t="shared" si="5"/>
      </x:c>
      <x:c r="G342"/>
    </x:row>
    <x:row r="343" ht="21" customHeight="1">
      <x:c r="A343"/>
      <x:c r="B343"/>
      <x:c r="C343"/>
      <x:c r="D343"/>
      <x:c r="E343"/>
      <x:c r="F343">
        <x:f t="shared" si="5"/>
      </x:c>
      <x:c r="G343"/>
    </x:row>
    <x:row r="344" ht="21" customHeight="1">
      <x:c r="A344"/>
      <x:c r="B344"/>
      <x:c r="C344"/>
      <x:c r="D344"/>
      <x:c r="E344"/>
      <x:c r="F344">
        <x:f t="shared" si="5"/>
      </x:c>
      <x:c r="G344"/>
    </x:row>
    <x:row r="345" ht="21" customHeight="1">
      <x:c r="A345"/>
      <x:c r="B345"/>
      <x:c r="C345"/>
      <x:c r="D345"/>
      <x:c r="E345"/>
      <x:c r="F345">
        <x:f t="shared" si="5"/>
      </x:c>
      <x:c r="G345"/>
    </x:row>
    <x:row r="346" ht="21" customHeight="1">
      <x:c r="A346"/>
      <x:c r="B346"/>
      <x:c r="C346"/>
      <x:c r="D346"/>
      <x:c r="E346"/>
      <x:c r="F346">
        <x:f t="shared" si="5"/>
      </x:c>
      <x:c r="G346"/>
    </x:row>
    <x:row r="347" ht="21" customHeight="1">
      <x:c r="A347"/>
      <x:c r="B347"/>
      <x:c r="C347"/>
      <x:c r="D347"/>
      <x:c r="E347"/>
      <x:c r="F347">
        <x:f t="shared" si="5"/>
      </x:c>
      <x:c r="G347"/>
    </x:row>
    <x:row r="348" ht="21" customHeight="1">
      <x:c r="A348"/>
      <x:c r="B348"/>
      <x:c r="C348"/>
      <x:c r="D348"/>
      <x:c r="E348"/>
      <x:c r="F348">
        <x:f t="shared" si="5"/>
      </x:c>
      <x:c r="G348"/>
    </x:row>
    <x:row r="349" ht="21" customHeight="1">
      <x:c r="A349"/>
      <x:c r="B349"/>
      <x:c r="C349"/>
      <x:c r="D349"/>
      <x:c r="E349"/>
      <x:c r="F349">
        <x:f t="shared" si="5"/>
      </x:c>
      <x:c r="G349"/>
    </x:row>
    <x:row r="350" ht="21" customHeight="1">
      <x:c r="A350"/>
      <x:c r="B350"/>
      <x:c r="C350"/>
      <x:c r="D350"/>
      <x:c r="E350"/>
      <x:c r="F350">
        <x:f t="shared" si="5"/>
      </x:c>
      <x:c r="G350"/>
    </x:row>
    <x:row r="351" ht="21" customHeight="1">
      <x:c r="A351"/>
      <x:c r="B351"/>
      <x:c r="C351"/>
      <x:c r="D351"/>
      <x:c r="E351"/>
      <x:c r="F351">
        <x:f t="shared" si="5"/>
      </x:c>
      <x:c r="G351"/>
    </x:row>
    <x:row r="352" ht="21" customHeight="1">
      <x:c r="A352"/>
      <x:c r="B352"/>
      <x:c r="C352"/>
      <x:c r="D352"/>
      <x:c r="E352"/>
      <x:c r="F352">
        <x:f t="shared" si="5"/>
      </x:c>
      <x:c r="G352"/>
    </x:row>
    <x:row r="353" ht="21" customHeight="1">
      <x:c r="A353"/>
      <x:c r="B353"/>
      <x:c r="C353"/>
      <x:c r="D353"/>
      <x:c r="E353"/>
      <x:c r="F353">
        <x:f t="shared" si="5"/>
      </x:c>
      <x:c r="G353"/>
    </x:row>
    <x:row r="354" ht="21" customHeight="1">
      <x:c r="A354"/>
      <x:c r="B354"/>
      <x:c r="C354"/>
      <x:c r="D354"/>
      <x:c r="E354"/>
      <x:c r="F354">
        <x:f t="shared" si="5"/>
      </x:c>
      <x:c r="G354"/>
    </x:row>
    <x:row r="355" ht="21" customHeight="1">
      <x:c r="A355"/>
      <x:c r="B355"/>
      <x:c r="C355"/>
      <x:c r="D355"/>
      <x:c r="E355"/>
      <x:c r="F355">
        <x:f t="shared" si="5"/>
      </x:c>
      <x:c r="G355"/>
    </x:row>
    <x:row r="356" ht="21" customHeight="1">
      <x:c r="A356"/>
      <x:c r="B356"/>
      <x:c r="C356"/>
      <x:c r="D356"/>
      <x:c r="E356"/>
      <x:c r="F356">
        <x:f t="shared" si="5"/>
      </x:c>
      <x:c r="G356"/>
    </x:row>
    <x:row r="357" ht="21" customHeight="1">
      <x:c r="A357"/>
      <x:c r="B357"/>
      <x:c r="C357"/>
      <x:c r="D357"/>
      <x:c r="E357"/>
      <x:c r="F357">
        <x:f t="shared" si="5"/>
      </x:c>
      <x:c r="G357"/>
    </x:row>
    <x:row r="358" ht="21" customHeight="1">
      <x:c r="A358"/>
      <x:c r="B358"/>
      <x:c r="C358"/>
      <x:c r="D358"/>
      <x:c r="E358"/>
      <x:c r="F358">
        <x:f t="shared" si="5"/>
      </x:c>
      <x:c r="G358"/>
    </x:row>
    <x:row r="359" ht="21" customHeight="1">
      <x:c r="A359"/>
      <x:c r="B359"/>
      <x:c r="C359"/>
      <x:c r="D359"/>
      <x:c r="E359"/>
      <x:c r="F359">
        <x:f t="shared" si="5"/>
      </x:c>
      <x:c r="G359"/>
    </x:row>
    <x:row r="360" ht="21" customHeight="1">
      <x:c r="A360"/>
      <x:c r="B360"/>
      <x:c r="C360"/>
      <x:c r="D360"/>
      <x:c r="E360"/>
      <x:c r="F360">
        <x:f t="shared" si="5"/>
      </x:c>
      <x:c r="G360"/>
    </x:row>
    <x:row r="361" ht="21" customHeight="1">
      <x:c r="A361"/>
      <x:c r="B361"/>
      <x:c r="C361"/>
      <x:c r="D361"/>
      <x:c r="E361"/>
      <x:c r="F361">
        <x:f t="shared" si="5"/>
      </x:c>
      <x:c r="G361"/>
    </x:row>
    <x:row r="362" ht="21" customHeight="1">
      <x:c r="A362"/>
      <x:c r="B362"/>
      <x:c r="C362"/>
      <x:c r="D362"/>
      <x:c r="E362"/>
      <x:c r="F362">
        <x:f t="shared" si="5"/>
      </x:c>
      <x:c r="G362"/>
    </x:row>
    <x:row r="363" ht="21" customHeight="1">
      <x:c r="A363"/>
      <x:c r="B363"/>
      <x:c r="C363"/>
      <x:c r="D363"/>
      <x:c r="E363"/>
      <x:c r="F363">
        <x:f t="shared" si="5"/>
      </x:c>
      <x:c r="G363"/>
    </x:row>
    <x:row r="364" ht="21" customHeight="1">
      <x:c r="A364"/>
      <x:c r="B364"/>
      <x:c r="C364"/>
      <x:c r="D364"/>
      <x:c r="E364"/>
      <x:c r="F364">
        <x:f t="shared" si="5"/>
      </x:c>
      <x:c r="G364"/>
    </x:row>
    <x:row r="365" ht="21" customHeight="1">
      <x:c r="A365"/>
      <x:c r="B365"/>
      <x:c r="C365"/>
      <x:c r="D365"/>
      <x:c r="E365"/>
      <x:c r="F365">
        <x:f t="shared" si="5"/>
      </x:c>
      <x:c r="G365"/>
    </x:row>
    <x:row r="366" ht="21" customHeight="1">
      <x:c r="A366"/>
      <x:c r="B366"/>
      <x:c r="C366"/>
      <x:c r="D366"/>
      <x:c r="E366"/>
      <x:c r="F366">
        <x:f t="shared" si="5"/>
      </x:c>
      <x:c r="G366"/>
    </x:row>
    <x:row r="367" ht="21" customHeight="1">
      <x:c r="A367"/>
      <x:c r="B367"/>
      <x:c r="C367"/>
      <x:c r="D367"/>
      <x:c r="E367"/>
      <x:c r="F367">
        <x:f t="shared" si="5"/>
      </x:c>
      <x:c r="G367"/>
    </x:row>
    <x:row r="368" ht="21" customHeight="1">
      <x:c r="A368"/>
      <x:c r="B368"/>
      <x:c r="C368"/>
      <x:c r="D368"/>
      <x:c r="E368"/>
      <x:c r="F368">
        <x:f t="shared" si="5"/>
      </x:c>
      <x:c r="G368"/>
    </x:row>
    <x:row r="369" ht="21" customHeight="1">
      <x:c r="A369"/>
      <x:c r="B369"/>
      <x:c r="C369"/>
      <x:c r="D369"/>
      <x:c r="E369"/>
      <x:c r="F369">
        <x:f t="shared" si="5"/>
      </x:c>
      <x:c r="G369"/>
    </x:row>
    <x:row r="370" ht="21" customHeight="1">
      <x:c r="A370"/>
      <x:c r="B370"/>
      <x:c r="C370"/>
      <x:c r="D370"/>
      <x:c r="E370"/>
      <x:c r="F370">
        <x:f t="shared" si="5"/>
      </x:c>
      <x:c r="G370"/>
    </x:row>
    <x:row r="371" ht="21" customHeight="1">
      <x:c r="A371"/>
      <x:c r="B371"/>
      <x:c r="C371"/>
      <x:c r="D371"/>
      <x:c r="E371"/>
      <x:c r="F371">
        <x:f t="shared" si="5"/>
      </x:c>
      <x:c r="G371"/>
    </x:row>
    <x:row r="372" ht="21" customHeight="1">
      <x:c r="A372"/>
      <x:c r="B372"/>
      <x:c r="C372"/>
      <x:c r="D372"/>
      <x:c r="E372"/>
      <x:c r="F372">
        <x:f t="shared" si="5"/>
      </x:c>
      <x:c r="G372"/>
    </x:row>
    <x:row r="373" ht="21" customHeight="1">
      <x:c r="A373"/>
      <x:c r="B373"/>
      <x:c r="C373"/>
      <x:c r="D373"/>
      <x:c r="E373"/>
      <x:c r="F373">
        <x:f t="shared" si="5"/>
      </x:c>
      <x:c r="G373"/>
    </x:row>
    <x:row r="374" ht="21" customHeight="1">
      <x:c r="A374"/>
      <x:c r="B374"/>
      <x:c r="C374"/>
      <x:c r="D374"/>
      <x:c r="E374"/>
      <x:c r="F374">
        <x:f t="shared" si="5"/>
      </x:c>
      <x:c r="G374"/>
    </x:row>
    <x:row r="375" ht="21" customHeight="1">
      <x:c r="A375"/>
      <x:c r="B375"/>
      <x:c r="C375"/>
      <x:c r="D375"/>
      <x:c r="E375"/>
      <x:c r="F375">
        <x:f t="shared" si="5"/>
      </x:c>
      <x:c r="G375"/>
    </x:row>
    <x:row r="376" ht="21" customHeight="1">
      <x:c r="A376"/>
      <x:c r="B376"/>
      <x:c r="C376"/>
      <x:c r="D376"/>
      <x:c r="E376"/>
      <x:c r="F376">
        <x:f t="shared" si="5"/>
      </x:c>
      <x:c r="G376"/>
    </x:row>
    <x:row r="377" ht="21" customHeight="1">
      <x:c r="A377"/>
      <x:c r="B377"/>
      <x:c r="C377"/>
      <x:c r="D377"/>
      <x:c r="E377"/>
      <x:c r="F377">
        <x:f t="shared" si="5"/>
      </x:c>
      <x:c r="G377"/>
    </x:row>
    <x:row r="378" ht="21" customHeight="1">
      <x:c r="A378"/>
      <x:c r="B378"/>
      <x:c r="C378"/>
      <x:c r="D378"/>
      <x:c r="E378"/>
      <x:c r="F378">
        <x:f t="shared" si="5"/>
      </x:c>
      <x:c r="G378"/>
    </x:row>
    <x:row r="379" ht="21" customHeight="1">
      <x:c r="A379"/>
      <x:c r="B379"/>
      <x:c r="C379"/>
      <x:c r="D379"/>
      <x:c r="E379"/>
      <x:c r="F379">
        <x:f t="shared" si="5"/>
      </x:c>
      <x:c r="G379"/>
    </x:row>
    <x:row r="380" ht="21" customHeight="1">
      <x:c r="A380"/>
      <x:c r="B380"/>
      <x:c r="C380"/>
      <x:c r="D380"/>
      <x:c r="E380"/>
      <x:c r="F380">
        <x:f t="shared" si="5"/>
      </x:c>
      <x:c r="G380"/>
    </x:row>
    <x:row r="381" ht="21" customHeight="1">
      <x:c r="A381"/>
      <x:c r="B381"/>
      <x:c r="C381"/>
      <x:c r="D381"/>
      <x:c r="E381"/>
      <x:c r="F381">
        <x:f t="shared" si="5"/>
      </x:c>
      <x:c r="G381"/>
    </x:row>
    <x:row r="382" ht="21" customHeight="1">
      <x:c r="A382"/>
      <x:c r="B382"/>
      <x:c r="C382"/>
      <x:c r="D382"/>
      <x:c r="E382"/>
      <x:c r="F382">
        <x:f t="shared" si="5"/>
      </x:c>
      <x:c r="G382"/>
    </x:row>
    <x:row r="383" ht="21" customHeight="1">
      <x:c r="A383"/>
      <x:c r="B383"/>
      <x:c r="C383"/>
      <x:c r="D383"/>
      <x:c r="E383"/>
      <x:c r="F383">
        <x:f t="shared" si="5"/>
      </x:c>
      <x:c r="G383"/>
    </x:row>
    <x:row r="384" ht="21" customHeight="1">
      <x:c r="A384"/>
      <x:c r="B384"/>
      <x:c r="C384"/>
      <x:c r="D384"/>
      <x:c r="E384"/>
      <x:c r="F384">
        <x:f t="shared" si="5"/>
      </x:c>
      <x:c r="G384"/>
    </x:row>
    <x:row r="385" ht="21" customHeight="1">
      <x:c r="A385"/>
      <x:c r="B385"/>
      <x:c r="C385"/>
      <x:c r="D385"/>
      <x:c r="E385"/>
      <x:c r="F385">
        <x:f t="shared" si="5"/>
      </x:c>
      <x:c r="G385"/>
    </x:row>
    <x:row r="386" ht="21" customHeight="1">
      <x:c r="A386"/>
      <x:c r="B386"/>
      <x:c r="C386"/>
      <x:c r="D386"/>
      <x:c r="E386"/>
      <x:c r="F386">
        <x:f t="shared" si="5"/>
      </x:c>
      <x:c r="G386"/>
    </x:row>
    <x:row r="387" ht="21" customHeight="1">
      <x:c r="A387"/>
      <x:c r="B387"/>
      <x:c r="C387"/>
      <x:c r="D387"/>
      <x:c r="E387"/>
      <x:c r="F387">
        <x:f t="shared" si="5"/>
      </x:c>
      <x:c r="G387"/>
    </x:row>
    <x:row r="388" ht="21" customHeight="1">
      <x:c r="A388"/>
      <x:c r="B388"/>
      <x:c r="C388"/>
      <x:c r="D388"/>
      <x:c r="E388"/>
      <x:c r="F388">
        <x:f t="shared" si="5"/>
      </x:c>
      <x:c r="G388"/>
    </x:row>
    <x:row r="389" ht="21" customHeight="1">
      <x:c r="A389"/>
      <x:c r="B389"/>
      <x:c r="C389"/>
      <x:c r="D389"/>
      <x:c r="E389"/>
      <x:c r="F389" t="str">
        <x:f t="shared" ref="F389:F452" si="6">IF(COUNTA(C389:E389)=0,"",C389*$J$2+(D389+E389)*$J$3)</x:f>
      </x:c>
      <x:c r="G389"/>
    </x:row>
    <x:row r="390" ht="21" customHeight="1">
      <x:c r="A390"/>
      <x:c r="B390"/>
      <x:c r="C390"/>
      <x:c r="D390"/>
      <x:c r="E390"/>
      <x:c r="F390">
        <x:f t="shared" si="6"/>
      </x:c>
      <x:c r="G390"/>
    </x:row>
    <x:row r="391" ht="21" customHeight="1">
      <x:c r="A391"/>
      <x:c r="B391"/>
      <x:c r="C391"/>
      <x:c r="D391"/>
      <x:c r="E391"/>
      <x:c r="F391">
        <x:f t="shared" si="6"/>
      </x:c>
      <x:c r="G391"/>
    </x:row>
    <x:row r="392" ht="21" customHeight="1">
      <x:c r="A392"/>
      <x:c r="B392"/>
      <x:c r="C392"/>
      <x:c r="D392"/>
      <x:c r="E392"/>
      <x:c r="F392">
        <x:f t="shared" si="6"/>
      </x:c>
      <x:c r="G392"/>
    </x:row>
    <x:row r="393" ht="21" customHeight="1">
      <x:c r="A393"/>
      <x:c r="B393"/>
      <x:c r="C393"/>
      <x:c r="D393"/>
      <x:c r="E393"/>
      <x:c r="F393">
        <x:f t="shared" si="6"/>
      </x:c>
      <x:c r="G393"/>
    </x:row>
    <x:row r="394" ht="21" customHeight="1">
      <x:c r="A394"/>
      <x:c r="B394"/>
      <x:c r="C394"/>
      <x:c r="D394"/>
      <x:c r="E394"/>
      <x:c r="F394">
        <x:f t="shared" si="6"/>
      </x:c>
      <x:c r="G394"/>
    </x:row>
    <x:row r="395" ht="21" customHeight="1">
      <x:c r="A395"/>
      <x:c r="B395"/>
      <x:c r="C395"/>
      <x:c r="D395"/>
      <x:c r="E395"/>
      <x:c r="F395">
        <x:f t="shared" si="6"/>
      </x:c>
      <x:c r="G395"/>
    </x:row>
    <x:row r="396" ht="21" customHeight="1">
      <x:c r="A396"/>
      <x:c r="B396"/>
      <x:c r="C396"/>
      <x:c r="D396"/>
      <x:c r="E396"/>
      <x:c r="F396">
        <x:f t="shared" si="6"/>
      </x:c>
      <x:c r="G396"/>
    </x:row>
    <x:row r="397" ht="21" customHeight="1">
      <x:c r="A397"/>
      <x:c r="B397"/>
      <x:c r="C397"/>
      <x:c r="D397"/>
      <x:c r="E397"/>
      <x:c r="F397">
        <x:f t="shared" si="6"/>
      </x:c>
      <x:c r="G397"/>
    </x:row>
    <x:row r="398" ht="21" customHeight="1">
      <x:c r="A398"/>
      <x:c r="B398"/>
      <x:c r="C398"/>
      <x:c r="D398"/>
      <x:c r="E398"/>
      <x:c r="F398">
        <x:f t="shared" si="6"/>
      </x:c>
      <x:c r="G398"/>
    </x:row>
    <x:row r="399" ht="21" customHeight="1">
      <x:c r="A399"/>
      <x:c r="B399"/>
      <x:c r="C399"/>
      <x:c r="D399"/>
      <x:c r="E399"/>
      <x:c r="F399">
        <x:f t="shared" si="6"/>
      </x:c>
      <x:c r="G399"/>
    </x:row>
    <x:row r="400" ht="21" customHeight="1">
      <x:c r="A400"/>
      <x:c r="B400"/>
      <x:c r="C400"/>
      <x:c r="D400"/>
      <x:c r="E400"/>
      <x:c r="F400">
        <x:f t="shared" si="6"/>
      </x:c>
      <x:c r="G400"/>
    </x:row>
    <x:row r="401" ht="21" customHeight="1">
      <x:c r="A401"/>
      <x:c r="B401"/>
      <x:c r="C401"/>
      <x:c r="D401"/>
      <x:c r="E401"/>
      <x:c r="F401">
        <x:f t="shared" si="6"/>
      </x:c>
      <x:c r="G401"/>
    </x:row>
    <x:row r="402" ht="21" customHeight="1">
      <x:c r="A402"/>
      <x:c r="B402"/>
      <x:c r="C402"/>
      <x:c r="D402"/>
      <x:c r="E402"/>
      <x:c r="F402">
        <x:f t="shared" si="6"/>
      </x:c>
      <x:c r="G402"/>
    </x:row>
    <x:row r="403" ht="21" customHeight="1">
      <x:c r="A403"/>
      <x:c r="B403"/>
      <x:c r="C403"/>
      <x:c r="D403"/>
      <x:c r="E403"/>
      <x:c r="F403">
        <x:f t="shared" si="6"/>
      </x:c>
      <x:c r="G403"/>
    </x:row>
    <x:row r="404" ht="21" customHeight="1">
      <x:c r="A404"/>
      <x:c r="B404"/>
      <x:c r="C404"/>
      <x:c r="D404"/>
      <x:c r="E404"/>
      <x:c r="F404">
        <x:f t="shared" si="6"/>
      </x:c>
      <x:c r="G404"/>
    </x:row>
    <x:row r="405" ht="21" customHeight="1">
      <x:c r="A405"/>
      <x:c r="B405"/>
      <x:c r="C405"/>
      <x:c r="D405"/>
      <x:c r="E405"/>
      <x:c r="F405">
        <x:f t="shared" si="6"/>
      </x:c>
      <x:c r="G405"/>
    </x:row>
    <x:row r="406" ht="21" customHeight="1">
      <x:c r="A406"/>
      <x:c r="B406"/>
      <x:c r="C406"/>
      <x:c r="D406"/>
      <x:c r="E406"/>
      <x:c r="F406">
        <x:f t="shared" si="6"/>
      </x:c>
      <x:c r="G406"/>
    </x:row>
    <x:row r="407" ht="21" customHeight="1">
      <x:c r="A407"/>
      <x:c r="B407"/>
      <x:c r="C407"/>
      <x:c r="D407"/>
      <x:c r="E407"/>
      <x:c r="F407">
        <x:f t="shared" si="6"/>
      </x:c>
      <x:c r="G407"/>
    </x:row>
    <x:row r="408" ht="21" customHeight="1">
      <x:c r="A408"/>
      <x:c r="B408"/>
      <x:c r="C408"/>
      <x:c r="D408"/>
      <x:c r="E408"/>
      <x:c r="F408">
        <x:f t="shared" si="6"/>
      </x:c>
      <x:c r="G408"/>
    </x:row>
    <x:row r="409" ht="21" customHeight="1">
      <x:c r="A409"/>
      <x:c r="B409"/>
      <x:c r="C409"/>
      <x:c r="D409"/>
      <x:c r="E409"/>
      <x:c r="F409">
        <x:f t="shared" si="6"/>
      </x:c>
      <x:c r="G409"/>
    </x:row>
    <x:row r="410" ht="21" customHeight="1">
      <x:c r="A410"/>
      <x:c r="B410"/>
      <x:c r="C410"/>
      <x:c r="D410"/>
      <x:c r="E410"/>
      <x:c r="F410">
        <x:f t="shared" si="6"/>
      </x:c>
      <x:c r="G410"/>
    </x:row>
    <x:row r="411" ht="21" customHeight="1">
      <x:c r="A411"/>
      <x:c r="B411"/>
      <x:c r="C411"/>
      <x:c r="D411"/>
      <x:c r="E411"/>
      <x:c r="F411">
        <x:f t="shared" si="6"/>
      </x:c>
      <x:c r="G411"/>
    </x:row>
    <x:row r="412" ht="21" customHeight="1">
      <x:c r="A412"/>
      <x:c r="B412"/>
      <x:c r="C412"/>
      <x:c r="D412"/>
      <x:c r="E412"/>
      <x:c r="F412">
        <x:f t="shared" si="6"/>
      </x:c>
      <x:c r="G412"/>
    </x:row>
    <x:row r="413" ht="21" customHeight="1">
      <x:c r="A413"/>
      <x:c r="B413"/>
      <x:c r="C413"/>
      <x:c r="D413"/>
      <x:c r="E413"/>
      <x:c r="F413">
        <x:f t="shared" si="6"/>
      </x:c>
      <x:c r="G413"/>
    </x:row>
    <x:row r="414" ht="21" customHeight="1">
      <x:c r="A414"/>
      <x:c r="B414"/>
      <x:c r="C414"/>
      <x:c r="D414"/>
      <x:c r="E414"/>
      <x:c r="F414">
        <x:f t="shared" si="6"/>
      </x:c>
      <x:c r="G414"/>
    </x:row>
    <x:row r="415" ht="21" customHeight="1">
      <x:c r="A415"/>
      <x:c r="B415"/>
      <x:c r="C415"/>
      <x:c r="D415"/>
      <x:c r="E415"/>
      <x:c r="F415">
        <x:f t="shared" si="6"/>
      </x:c>
      <x:c r="G415"/>
    </x:row>
    <x:row r="416" ht="21" customHeight="1">
      <x:c r="A416"/>
      <x:c r="B416"/>
      <x:c r="C416"/>
      <x:c r="D416"/>
      <x:c r="E416"/>
      <x:c r="F416">
        <x:f t="shared" si="6"/>
      </x:c>
      <x:c r="G416"/>
    </x:row>
    <x:row r="417" ht="21" customHeight="1">
      <x:c r="A417"/>
      <x:c r="B417"/>
      <x:c r="C417"/>
      <x:c r="D417"/>
      <x:c r="E417"/>
      <x:c r="F417">
        <x:f t="shared" si="6"/>
      </x:c>
      <x:c r="G417"/>
    </x:row>
    <x:row r="418" ht="21" customHeight="1">
      <x:c r="A418"/>
      <x:c r="B418"/>
      <x:c r="C418"/>
      <x:c r="D418"/>
      <x:c r="E418"/>
      <x:c r="F418">
        <x:f t="shared" si="6"/>
      </x:c>
      <x:c r="G418"/>
    </x:row>
    <x:row r="419" ht="21" customHeight="1">
      <x:c r="A419"/>
      <x:c r="B419"/>
      <x:c r="C419"/>
      <x:c r="D419"/>
      <x:c r="E419"/>
      <x:c r="F419">
        <x:f t="shared" si="6"/>
      </x:c>
      <x:c r="G419"/>
    </x:row>
    <x:row r="420" ht="21" customHeight="1">
      <x:c r="A420"/>
      <x:c r="B420"/>
      <x:c r="C420"/>
      <x:c r="D420"/>
      <x:c r="E420"/>
      <x:c r="F420">
        <x:f t="shared" si="6"/>
      </x:c>
      <x:c r="G420"/>
    </x:row>
    <x:row r="421" ht="21" customHeight="1">
      <x:c r="A421"/>
      <x:c r="B421"/>
      <x:c r="C421"/>
      <x:c r="D421"/>
      <x:c r="E421"/>
      <x:c r="F421">
        <x:f t="shared" si="6"/>
      </x:c>
      <x:c r="G421"/>
    </x:row>
    <x:row r="422" ht="21" customHeight="1">
      <x:c r="A422"/>
      <x:c r="B422"/>
      <x:c r="C422"/>
      <x:c r="D422"/>
      <x:c r="E422"/>
      <x:c r="F422">
        <x:f t="shared" si="6"/>
      </x:c>
      <x:c r="G422"/>
    </x:row>
    <x:row r="423" ht="21" customHeight="1">
      <x:c r="A423"/>
      <x:c r="B423"/>
      <x:c r="C423"/>
      <x:c r="D423"/>
      <x:c r="E423"/>
      <x:c r="F423">
        <x:f t="shared" si="6"/>
      </x:c>
      <x:c r="G423"/>
    </x:row>
    <x:row r="424" ht="21" customHeight="1">
      <x:c r="A424"/>
      <x:c r="B424"/>
      <x:c r="C424"/>
      <x:c r="D424"/>
      <x:c r="E424"/>
      <x:c r="F424">
        <x:f t="shared" si="6"/>
      </x:c>
      <x:c r="G424"/>
    </x:row>
    <x:row r="425" ht="21" customHeight="1">
      <x:c r="A425"/>
      <x:c r="B425"/>
      <x:c r="C425"/>
      <x:c r="D425"/>
      <x:c r="E425"/>
      <x:c r="F425">
        <x:f t="shared" si="6"/>
      </x:c>
      <x:c r="G425"/>
    </x:row>
    <x:row r="426" ht="21" customHeight="1">
      <x:c r="A426"/>
      <x:c r="B426"/>
      <x:c r="C426"/>
      <x:c r="D426"/>
      <x:c r="E426"/>
      <x:c r="F426">
        <x:f t="shared" si="6"/>
      </x:c>
      <x:c r="G426"/>
    </x:row>
    <x:row r="427" ht="21" customHeight="1">
      <x:c r="A427"/>
      <x:c r="B427"/>
      <x:c r="C427"/>
      <x:c r="D427"/>
      <x:c r="E427"/>
      <x:c r="F427">
        <x:f t="shared" si="6"/>
      </x:c>
      <x:c r="G427"/>
    </x:row>
    <x:row r="428" ht="21" customHeight="1">
      <x:c r="A428"/>
      <x:c r="B428"/>
      <x:c r="C428"/>
      <x:c r="D428"/>
      <x:c r="E428"/>
      <x:c r="F428">
        <x:f t="shared" si="6"/>
      </x:c>
      <x:c r="G428"/>
    </x:row>
    <x:row r="429" ht="21" customHeight="1">
      <x:c r="A429"/>
      <x:c r="B429"/>
      <x:c r="C429"/>
      <x:c r="D429"/>
      <x:c r="E429"/>
      <x:c r="F429">
        <x:f t="shared" si="6"/>
      </x:c>
      <x:c r="G429"/>
    </x:row>
    <x:row r="430" ht="21" customHeight="1">
      <x:c r="A430"/>
      <x:c r="B430"/>
      <x:c r="C430"/>
      <x:c r="D430"/>
      <x:c r="E430"/>
      <x:c r="F430">
        <x:f t="shared" si="6"/>
      </x:c>
      <x:c r="G430"/>
    </x:row>
    <x:row r="431" ht="21" customHeight="1">
      <x:c r="A431"/>
      <x:c r="B431"/>
      <x:c r="C431"/>
      <x:c r="D431"/>
      <x:c r="E431"/>
      <x:c r="F431">
        <x:f t="shared" si="6"/>
      </x:c>
      <x:c r="G431"/>
    </x:row>
    <x:row r="432" ht="21" customHeight="1">
      <x:c r="A432"/>
      <x:c r="B432"/>
      <x:c r="C432"/>
      <x:c r="D432"/>
      <x:c r="E432"/>
      <x:c r="F432">
        <x:f t="shared" si="6"/>
      </x:c>
      <x:c r="G432"/>
    </x:row>
    <x:row r="433" ht="21" customHeight="1">
      <x:c r="A433"/>
      <x:c r="B433"/>
      <x:c r="C433"/>
      <x:c r="D433"/>
      <x:c r="E433"/>
      <x:c r="F433">
        <x:f t="shared" si="6"/>
      </x:c>
      <x:c r="G433"/>
    </x:row>
    <x:row r="434" ht="21" customHeight="1">
      <x:c r="A434"/>
      <x:c r="B434"/>
      <x:c r="C434"/>
      <x:c r="D434"/>
      <x:c r="E434"/>
      <x:c r="F434">
        <x:f t="shared" si="6"/>
      </x:c>
      <x:c r="G434"/>
    </x:row>
    <x:row r="435" ht="21" customHeight="1">
      <x:c r="A435"/>
      <x:c r="B435"/>
      <x:c r="C435"/>
      <x:c r="D435"/>
      <x:c r="E435"/>
      <x:c r="F435">
        <x:f t="shared" si="6"/>
      </x:c>
      <x:c r="G435"/>
    </x:row>
    <x:row r="436" ht="21" customHeight="1">
      <x:c r="A436"/>
      <x:c r="B436"/>
      <x:c r="C436"/>
      <x:c r="D436"/>
      <x:c r="E436"/>
      <x:c r="F436">
        <x:f t="shared" si="6"/>
      </x:c>
      <x:c r="G436"/>
    </x:row>
    <x:row r="437" ht="21" customHeight="1">
      <x:c r="A437"/>
      <x:c r="B437"/>
      <x:c r="C437"/>
      <x:c r="D437"/>
      <x:c r="E437"/>
      <x:c r="F437">
        <x:f t="shared" si="6"/>
      </x:c>
      <x:c r="G437"/>
    </x:row>
    <x:row r="438" ht="21" customHeight="1">
      <x:c r="A438"/>
      <x:c r="B438"/>
      <x:c r="C438"/>
      <x:c r="D438"/>
      <x:c r="E438"/>
      <x:c r="F438">
        <x:f t="shared" si="6"/>
      </x:c>
      <x:c r="G438"/>
    </x:row>
    <x:row r="439" ht="21" customHeight="1">
      <x:c r="A439"/>
      <x:c r="B439"/>
      <x:c r="C439"/>
      <x:c r="D439"/>
      <x:c r="E439"/>
      <x:c r="F439">
        <x:f t="shared" si="6"/>
      </x:c>
      <x:c r="G439"/>
    </x:row>
    <x:row r="440" ht="21" customHeight="1">
      <x:c r="A440"/>
      <x:c r="B440"/>
      <x:c r="C440"/>
      <x:c r="D440"/>
      <x:c r="E440"/>
      <x:c r="F440">
        <x:f t="shared" si="6"/>
      </x:c>
      <x:c r="G440"/>
    </x:row>
    <x:row r="441" ht="21" customHeight="1">
      <x:c r="A441"/>
      <x:c r="B441"/>
      <x:c r="C441"/>
      <x:c r="D441"/>
      <x:c r="E441"/>
      <x:c r="F441">
        <x:f t="shared" si="6"/>
      </x:c>
      <x:c r="G441"/>
    </x:row>
    <x:row r="442" ht="21" customHeight="1">
      <x:c r="A442"/>
      <x:c r="B442"/>
      <x:c r="C442"/>
      <x:c r="D442"/>
      <x:c r="E442"/>
      <x:c r="F442">
        <x:f t="shared" si="6"/>
      </x:c>
      <x:c r="G442"/>
    </x:row>
    <x:row r="443" ht="21" customHeight="1">
      <x:c r="A443"/>
      <x:c r="B443"/>
      <x:c r="C443"/>
      <x:c r="D443"/>
      <x:c r="E443"/>
      <x:c r="F443">
        <x:f t="shared" si="6"/>
      </x:c>
      <x:c r="G443"/>
    </x:row>
    <x:row r="444" ht="21" customHeight="1">
      <x:c r="A444"/>
      <x:c r="B444"/>
      <x:c r="C444"/>
      <x:c r="D444"/>
      <x:c r="E444"/>
      <x:c r="F444">
        <x:f t="shared" si="6"/>
      </x:c>
      <x:c r="G444"/>
    </x:row>
    <x:row r="445" ht="21" customHeight="1">
      <x:c r="A445"/>
      <x:c r="B445"/>
      <x:c r="C445"/>
      <x:c r="D445"/>
      <x:c r="E445"/>
      <x:c r="F445">
        <x:f t="shared" si="6"/>
      </x:c>
      <x:c r="G445"/>
    </x:row>
    <x:row r="446" ht="21" customHeight="1">
      <x:c r="A446"/>
      <x:c r="B446"/>
      <x:c r="C446"/>
      <x:c r="D446"/>
      <x:c r="E446"/>
      <x:c r="F446">
        <x:f t="shared" si="6"/>
      </x:c>
      <x:c r="G446"/>
    </x:row>
    <x:row r="447" ht="21" customHeight="1">
      <x:c r="A447"/>
      <x:c r="B447"/>
      <x:c r="C447"/>
      <x:c r="D447"/>
      <x:c r="E447"/>
      <x:c r="F447">
        <x:f t="shared" si="6"/>
      </x:c>
      <x:c r="G447"/>
    </x:row>
    <x:row r="448" ht="21" customHeight="1">
      <x:c r="A448"/>
      <x:c r="B448"/>
      <x:c r="C448"/>
      <x:c r="D448"/>
      <x:c r="E448"/>
      <x:c r="F448">
        <x:f t="shared" si="6"/>
      </x:c>
      <x:c r="G448"/>
    </x:row>
    <x:row r="449" ht="21" customHeight="1">
      <x:c r="A449"/>
      <x:c r="B449"/>
      <x:c r="C449"/>
      <x:c r="D449"/>
      <x:c r="E449"/>
      <x:c r="F449">
        <x:f t="shared" si="6"/>
      </x:c>
      <x:c r="G449"/>
    </x:row>
    <x:row r="450" ht="21" customHeight="1">
      <x:c r="A450"/>
      <x:c r="B450"/>
      <x:c r="C450"/>
      <x:c r="D450"/>
      <x:c r="E450"/>
      <x:c r="F450">
        <x:f t="shared" si="6"/>
      </x:c>
      <x:c r="G450"/>
    </x:row>
    <x:row r="451" ht="21" customHeight="1">
      <x:c r="A451"/>
      <x:c r="B451"/>
      <x:c r="C451"/>
      <x:c r="D451"/>
      <x:c r="E451"/>
      <x:c r="F451">
        <x:f t="shared" si="6"/>
      </x:c>
      <x:c r="G451"/>
    </x:row>
    <x:row r="452" ht="21" customHeight="1">
      <x:c r="A452"/>
      <x:c r="B452"/>
      <x:c r="C452"/>
      <x:c r="D452"/>
      <x:c r="E452"/>
      <x:c r="F452">
        <x:f t="shared" si="6"/>
      </x:c>
      <x:c r="G452"/>
    </x:row>
    <x:row r="453" ht="21" customHeight="1">
      <x:c r="A453"/>
      <x:c r="B453"/>
      <x:c r="C453"/>
      <x:c r="D453"/>
      <x:c r="E453"/>
      <x:c r="F453" t="str">
        <x:f t="shared" ref="F453:F516" si="7">IF(COUNTA(C453:E453)=0,"",C453*$J$2+(D453+E453)*$J$3)</x:f>
      </x:c>
      <x:c r="G453"/>
    </x:row>
    <x:row r="454" ht="21" customHeight="1">
      <x:c r="A454"/>
      <x:c r="B454"/>
      <x:c r="C454"/>
      <x:c r="D454"/>
      <x:c r="E454"/>
      <x:c r="F454">
        <x:f t="shared" si="7"/>
      </x:c>
      <x:c r="G454"/>
    </x:row>
    <x:row r="455" ht="21" customHeight="1">
      <x:c r="A455"/>
      <x:c r="B455"/>
      <x:c r="C455"/>
      <x:c r="D455"/>
      <x:c r="E455"/>
      <x:c r="F455">
        <x:f t="shared" si="7"/>
      </x:c>
      <x:c r="G455"/>
    </x:row>
    <x:row r="456" ht="21" customHeight="1">
      <x:c r="A456"/>
      <x:c r="B456"/>
      <x:c r="C456"/>
      <x:c r="D456"/>
      <x:c r="E456"/>
      <x:c r="F456">
        <x:f t="shared" si="7"/>
      </x:c>
      <x:c r="G456"/>
    </x:row>
    <x:row r="457" ht="21" customHeight="1">
      <x:c r="A457"/>
      <x:c r="B457"/>
      <x:c r="C457"/>
      <x:c r="D457"/>
      <x:c r="E457"/>
      <x:c r="F457">
        <x:f t="shared" si="7"/>
      </x:c>
      <x:c r="G457"/>
    </x:row>
    <x:row r="458" ht="21" customHeight="1">
      <x:c r="A458"/>
      <x:c r="B458"/>
      <x:c r="C458"/>
      <x:c r="D458"/>
      <x:c r="E458"/>
      <x:c r="F458">
        <x:f t="shared" si="7"/>
      </x:c>
      <x:c r="G458"/>
    </x:row>
    <x:row r="459" ht="21" customHeight="1">
      <x:c r="A459"/>
      <x:c r="B459"/>
      <x:c r="C459"/>
      <x:c r="D459"/>
      <x:c r="E459"/>
      <x:c r="F459">
        <x:f t="shared" si="7"/>
      </x:c>
      <x:c r="G459"/>
    </x:row>
    <x:row r="460" ht="21" customHeight="1">
      <x:c r="A460"/>
      <x:c r="B460"/>
      <x:c r="C460"/>
      <x:c r="D460"/>
      <x:c r="E460"/>
      <x:c r="F460">
        <x:f t="shared" si="7"/>
      </x:c>
      <x:c r="G460"/>
    </x:row>
    <x:row r="461" ht="21" customHeight="1">
      <x:c r="A461"/>
      <x:c r="B461"/>
      <x:c r="C461"/>
      <x:c r="D461"/>
      <x:c r="E461"/>
      <x:c r="F461">
        <x:f t="shared" si="7"/>
      </x:c>
      <x:c r="G461"/>
    </x:row>
    <x:row r="462" ht="21" customHeight="1">
      <x:c r="A462"/>
      <x:c r="B462"/>
      <x:c r="C462"/>
      <x:c r="D462"/>
      <x:c r="E462"/>
      <x:c r="F462">
        <x:f t="shared" si="7"/>
      </x:c>
      <x:c r="G462"/>
    </x:row>
    <x:row r="463" ht="21" customHeight="1">
      <x:c r="A463"/>
      <x:c r="B463"/>
      <x:c r="C463"/>
      <x:c r="D463"/>
      <x:c r="E463"/>
      <x:c r="F463">
        <x:f t="shared" si="7"/>
      </x:c>
      <x:c r="G463"/>
    </x:row>
    <x:row r="464" ht="21" customHeight="1">
      <x:c r="A464"/>
      <x:c r="B464"/>
      <x:c r="C464"/>
      <x:c r="D464"/>
      <x:c r="E464"/>
      <x:c r="F464">
        <x:f t="shared" si="7"/>
      </x:c>
      <x:c r="G464"/>
    </x:row>
    <x:row r="465" ht="21" customHeight="1">
      <x:c r="A465"/>
      <x:c r="B465"/>
      <x:c r="C465"/>
      <x:c r="D465"/>
      <x:c r="E465"/>
      <x:c r="F465">
        <x:f t="shared" si="7"/>
      </x:c>
      <x:c r="G465"/>
    </x:row>
    <x:row r="466" ht="21" customHeight="1">
      <x:c r="A466"/>
      <x:c r="B466"/>
      <x:c r="C466"/>
      <x:c r="D466"/>
      <x:c r="E466"/>
      <x:c r="F466">
        <x:f t="shared" si="7"/>
      </x:c>
      <x:c r="G466"/>
    </x:row>
    <x:row r="467" ht="21" customHeight="1">
      <x:c r="A467"/>
      <x:c r="B467"/>
      <x:c r="C467"/>
      <x:c r="D467"/>
      <x:c r="E467"/>
      <x:c r="F467">
        <x:f t="shared" si="7"/>
      </x:c>
      <x:c r="G467"/>
    </x:row>
    <x:row r="468" ht="21" customHeight="1">
      <x:c r="A468"/>
      <x:c r="B468"/>
      <x:c r="C468"/>
      <x:c r="D468"/>
      <x:c r="E468"/>
      <x:c r="F468">
        <x:f t="shared" si="7"/>
      </x:c>
      <x:c r="G468"/>
    </x:row>
    <x:row r="469" ht="21" customHeight="1">
      <x:c r="A469"/>
      <x:c r="B469"/>
      <x:c r="C469"/>
      <x:c r="D469"/>
      <x:c r="E469"/>
      <x:c r="F469">
        <x:f t="shared" si="7"/>
      </x:c>
      <x:c r="G469"/>
    </x:row>
    <x:row r="470" ht="21" customHeight="1">
      <x:c r="A470"/>
      <x:c r="B470"/>
      <x:c r="C470"/>
      <x:c r="D470"/>
      <x:c r="E470"/>
      <x:c r="F470">
        <x:f t="shared" si="7"/>
      </x:c>
      <x:c r="G470"/>
    </x:row>
    <x:row r="471" ht="21" customHeight="1">
      <x:c r="A471"/>
      <x:c r="B471"/>
      <x:c r="C471"/>
      <x:c r="D471"/>
      <x:c r="E471"/>
      <x:c r="F471">
        <x:f t="shared" si="7"/>
      </x:c>
      <x:c r="G471"/>
    </x:row>
    <x:row r="472" ht="21" customHeight="1">
      <x:c r="A472"/>
      <x:c r="B472"/>
      <x:c r="C472"/>
      <x:c r="D472"/>
      <x:c r="E472"/>
      <x:c r="F472">
        <x:f t="shared" si="7"/>
      </x:c>
      <x:c r="G472"/>
    </x:row>
    <x:row r="473" ht="21" customHeight="1">
      <x:c r="A473"/>
      <x:c r="B473"/>
      <x:c r="C473"/>
      <x:c r="D473"/>
      <x:c r="E473"/>
      <x:c r="F473">
        <x:f t="shared" si="7"/>
      </x:c>
      <x:c r="G473"/>
    </x:row>
    <x:row r="474" ht="21" customHeight="1">
      <x:c r="A474"/>
      <x:c r="B474"/>
      <x:c r="C474"/>
      <x:c r="D474"/>
      <x:c r="E474"/>
      <x:c r="F474">
        <x:f t="shared" si="7"/>
      </x:c>
      <x:c r="G474"/>
    </x:row>
    <x:row r="475" ht="21" customHeight="1">
      <x:c r="A475"/>
      <x:c r="B475"/>
      <x:c r="C475"/>
      <x:c r="D475"/>
      <x:c r="E475"/>
      <x:c r="F475">
        <x:f t="shared" si="7"/>
      </x:c>
      <x:c r="G475"/>
    </x:row>
    <x:row r="476" ht="21" customHeight="1">
      <x:c r="A476"/>
      <x:c r="B476"/>
      <x:c r="C476"/>
      <x:c r="D476"/>
      <x:c r="E476"/>
      <x:c r="F476">
        <x:f t="shared" si="7"/>
      </x:c>
      <x:c r="G476"/>
    </x:row>
    <x:row r="477" ht="21" customHeight="1">
      <x:c r="A477"/>
      <x:c r="B477"/>
      <x:c r="C477"/>
      <x:c r="D477"/>
      <x:c r="E477"/>
      <x:c r="F477"/>
      <x:c r="G477"/>
    </x:row>
    <x:row r="478" ht="21" customHeight="1">
      <x:c r="A478"/>
      <x:c r="B478"/>
      <x:c r="C478"/>
      <x:c r="D478"/>
      <x:c r="E478"/>
      <x:c r="F478"/>
      <x:c r="G478"/>
    </x:row>
    <x:row r="479" ht="21" customHeight="1">
      <x:c r="A479"/>
      <x:c r="B479"/>
      <x:c r="C479"/>
      <x:c r="D479"/>
      <x:c r="E479"/>
      <x:c r="F479"/>
      <x:c r="G479"/>
    </x:row>
    <x:row r="480" ht="21" customHeight="1">
      <x:c r="A480"/>
      <x:c r="B480"/>
      <x:c r="C480"/>
      <x:c r="D480"/>
      <x:c r="E480"/>
      <x:c r="F480">
        <x:f t="shared" si="7"/>
      </x:c>
      <x:c r="G480"/>
    </x:row>
    <x:row r="481" ht="21" customHeight="1">
      <x:c r="A481"/>
      <x:c r="B481"/>
      <x:c r="C481"/>
      <x:c r="D481"/>
      <x:c r="E481"/>
      <x:c r="F481">
        <x:f t="shared" si="7"/>
      </x:c>
      <x:c r="G481"/>
    </x:row>
    <x:row r="482" ht="21" customHeight="1">
      <x:c r="A482"/>
      <x:c r="B482"/>
      <x:c r="C482"/>
      <x:c r="D482"/>
      <x:c r="E482"/>
      <x:c r="F482">
        <x:f t="shared" si="7"/>
      </x:c>
      <x:c r="G482"/>
    </x:row>
    <x:row r="483" ht="21" customHeight="1">
      <x:c r="A483"/>
      <x:c r="B483"/>
      <x:c r="C483"/>
      <x:c r="D483"/>
      <x:c r="E483"/>
      <x:c r="F483">
        <x:f t="shared" si="7"/>
      </x:c>
      <x:c r="G483"/>
    </x:row>
    <x:row r="484" ht="21" customHeight="1">
      <x:c r="A484"/>
      <x:c r="B484"/>
      <x:c r="C484"/>
      <x:c r="D484"/>
      <x:c r="E484"/>
      <x:c r="F484">
        <x:f t="shared" si="7"/>
      </x:c>
      <x:c r="G484"/>
    </x:row>
    <x:row r="485" ht="21" customHeight="1">
      <x:c r="A485"/>
      <x:c r="B485"/>
      <x:c r="C485"/>
      <x:c r="D485"/>
      <x:c r="E485"/>
      <x:c r="F485">
        <x:f t="shared" si="7"/>
      </x:c>
      <x:c r="G485"/>
    </x:row>
    <x:row r="486" ht="21" customHeight="1">
      <x:c r="A486"/>
      <x:c r="B486"/>
      <x:c r="C486"/>
      <x:c r="D486"/>
      <x:c r="E486"/>
      <x:c r="F486">
        <x:f t="shared" si="7"/>
      </x:c>
      <x:c r="G486"/>
    </x:row>
    <x:row r="487" ht="21" customHeight="1">
      <x:c r="A487"/>
      <x:c r="B487"/>
      <x:c r="C487"/>
      <x:c r="D487"/>
      <x:c r="E487"/>
      <x:c r="F487">
        <x:f t="shared" si="7"/>
      </x:c>
      <x:c r="G487"/>
    </x:row>
    <x:row r="488" ht="21" customHeight="1">
      <x:c r="A488"/>
      <x:c r="B488"/>
      <x:c r="C488"/>
      <x:c r="D488"/>
      <x:c r="E488"/>
      <x:c r="F488">
        <x:f t="shared" si="7"/>
      </x:c>
      <x:c r="G488"/>
    </x:row>
    <x:row r="489" ht="21" customHeight="1">
      <x:c r="A489"/>
      <x:c r="B489"/>
      <x:c r="C489"/>
      <x:c r="D489"/>
      <x:c r="E489"/>
      <x:c r="F489">
        <x:f t="shared" si="7"/>
      </x:c>
      <x:c r="G489"/>
    </x:row>
    <x:row r="490" ht="21" customHeight="1">
      <x:c r="A490"/>
      <x:c r="B490"/>
      <x:c r="C490"/>
      <x:c r="D490"/>
      <x:c r="E490"/>
      <x:c r="F490">
        <x:f t="shared" si="7"/>
      </x:c>
      <x:c r="G490"/>
    </x:row>
    <x:row r="491" ht="21" customHeight="1">
      <x:c r="A491"/>
      <x:c r="B491"/>
      <x:c r="C491"/>
      <x:c r="D491"/>
      <x:c r="E491"/>
      <x:c r="F491">
        <x:f t="shared" si="7"/>
      </x:c>
      <x:c r="G491"/>
    </x:row>
    <x:row r="492" ht="21" customHeight="1">
      <x:c r="A492"/>
      <x:c r="B492"/>
      <x:c r="C492"/>
      <x:c r="D492"/>
      <x:c r="E492"/>
      <x:c r="F492">
        <x:f t="shared" si="7"/>
      </x:c>
      <x:c r="G492"/>
    </x:row>
    <x:row r="493" ht="21" customHeight="1">
      <x:c r="A493"/>
      <x:c r="B493"/>
      <x:c r="C493"/>
      <x:c r="D493"/>
      <x:c r="E493"/>
      <x:c r="F493">
        <x:f t="shared" si="7"/>
      </x:c>
      <x:c r="G493"/>
    </x:row>
    <x:row r="494" ht="21" customHeight="1">
      <x:c r="A494"/>
      <x:c r="B494"/>
      <x:c r="C494"/>
      <x:c r="D494"/>
      <x:c r="E494"/>
      <x:c r="F494">
        <x:f t="shared" si="7"/>
      </x:c>
      <x:c r="G494"/>
    </x:row>
    <x:row r="495" ht="21" customHeight="1">
      <x:c r="A495"/>
      <x:c r="B495"/>
      <x:c r="C495"/>
      <x:c r="D495"/>
      <x:c r="E495"/>
      <x:c r="F495">
        <x:f t="shared" si="7"/>
      </x:c>
      <x:c r="G495"/>
    </x:row>
    <x:row r="496" ht="21" customHeight="1">
      <x:c r="A496"/>
      <x:c r="B496"/>
      <x:c r="C496"/>
      <x:c r="D496"/>
      <x:c r="E496"/>
      <x:c r="F496">
        <x:f t="shared" si="7"/>
      </x:c>
      <x:c r="G496"/>
    </x:row>
    <x:row r="497" ht="21" customHeight="1">
      <x:c r="A497"/>
      <x:c r="B497"/>
      <x:c r="C497"/>
      <x:c r="D497"/>
      <x:c r="E497"/>
      <x:c r="F497">
        <x:f t="shared" si="7"/>
      </x:c>
      <x:c r="G497"/>
    </x:row>
    <x:row r="498" ht="21" customHeight="1">
      <x:c r="A498"/>
      <x:c r="B498"/>
      <x:c r="C498"/>
      <x:c r="D498"/>
      <x:c r="E498"/>
      <x:c r="F498">
        <x:f t="shared" si="7"/>
      </x:c>
      <x:c r="G498"/>
    </x:row>
    <x:row r="499" ht="21" customHeight="1">
      <x:c r="A499"/>
      <x:c r="B499"/>
      <x:c r="C499"/>
      <x:c r="D499"/>
      <x:c r="E499"/>
      <x:c r="F499">
        <x:f t="shared" si="7"/>
      </x:c>
      <x:c r="G499"/>
    </x:row>
    <x:row r="500" ht="21" customHeight="1">
      <x:c r="A500"/>
      <x:c r="B500"/>
      <x:c r="C500"/>
      <x:c r="D500"/>
      <x:c r="E500"/>
      <x:c r="F500">
        <x:f t="shared" si="7"/>
      </x:c>
      <x:c r="G500"/>
    </x:row>
    <x:row r="501" ht="21" customHeight="1">
      <x:c r="A501"/>
      <x:c r="B501"/>
      <x:c r="C501"/>
      <x:c r="D501"/>
      <x:c r="E501"/>
      <x:c r="F501">
        <x:f t="shared" si="7"/>
      </x:c>
      <x:c r="G501"/>
    </x:row>
    <x:row r="502" ht="21" customHeight="1">
      <x:c r="A502"/>
      <x:c r="B502"/>
      <x:c r="C502"/>
      <x:c r="D502"/>
      <x:c r="E502"/>
      <x:c r="F502">
        <x:f t="shared" si="7"/>
      </x:c>
      <x:c r="G502"/>
    </x:row>
    <x:row r="503" ht="21" customHeight="1">
      <x:c r="A503"/>
      <x:c r="B503"/>
      <x:c r="C503"/>
      <x:c r="D503"/>
      <x:c r="E503"/>
      <x:c r="F503">
        <x:f t="shared" si="7"/>
      </x:c>
      <x:c r="G503"/>
    </x:row>
    <x:row r="504" ht="21" customHeight="1">
      <x:c r="A504"/>
      <x:c r="B504"/>
      <x:c r="C504"/>
      <x:c r="D504"/>
      <x:c r="E504"/>
      <x:c r="F504">
        <x:f t="shared" si="7"/>
      </x:c>
      <x:c r="G504"/>
    </x:row>
    <x:row r="505" ht="21" customHeight="1">
      <x:c r="A505"/>
      <x:c r="B505"/>
      <x:c r="C505"/>
      <x:c r="D505"/>
      <x:c r="E505"/>
      <x:c r="F505">
        <x:f t="shared" si="7"/>
      </x:c>
      <x:c r="G505"/>
    </x:row>
    <x:row r="506" ht="21" customHeight="1">
      <x:c r="A506"/>
      <x:c r="B506"/>
      <x:c r="C506"/>
      <x:c r="D506"/>
      <x:c r="E506"/>
      <x:c r="F506">
        <x:f t="shared" si="7"/>
      </x:c>
      <x:c r="G506"/>
    </x:row>
    <x:row r="507" ht="21" customHeight="1">
      <x:c r="A507"/>
      <x:c r="B507"/>
      <x:c r="C507"/>
      <x:c r="D507"/>
      <x:c r="E507"/>
      <x:c r="F507">
        <x:f t="shared" si="7"/>
      </x:c>
      <x:c r="G507"/>
    </x:row>
    <x:row r="508" ht="21" customHeight="1">
      <x:c r="A508"/>
      <x:c r="B508"/>
      <x:c r="C508"/>
      <x:c r="D508"/>
      <x:c r="E508"/>
      <x:c r="F508">
        <x:f t="shared" si="7"/>
      </x:c>
      <x:c r="G508"/>
    </x:row>
    <x:row r="509" ht="21" customHeight="1">
      <x:c r="A509"/>
      <x:c r="B509"/>
      <x:c r="C509"/>
      <x:c r="D509"/>
      <x:c r="E509"/>
      <x:c r="F509">
        <x:f t="shared" si="7"/>
      </x:c>
      <x:c r="G509"/>
    </x:row>
    <x:row r="510" ht="21" customHeight="1">
      <x:c r="A510"/>
      <x:c r="B510"/>
      <x:c r="C510"/>
      <x:c r="D510"/>
      <x:c r="E510"/>
      <x:c r="F510">
        <x:f t="shared" si="7"/>
      </x:c>
      <x:c r="G510"/>
    </x:row>
    <x:row r="511" ht="21" customHeight="1">
      <x:c r="A511"/>
      <x:c r="B511"/>
      <x:c r="C511"/>
      <x:c r="D511"/>
      <x:c r="E511"/>
      <x:c r="F511">
        <x:f t="shared" si="7"/>
      </x:c>
      <x:c r="G511"/>
    </x:row>
    <x:row r="512" ht="21" customHeight="1">
      <x:c r="A512"/>
      <x:c r="B512"/>
      <x:c r="C512"/>
      <x:c r="D512"/>
      <x:c r="E512"/>
      <x:c r="F512">
        <x:f t="shared" si="7"/>
      </x:c>
      <x:c r="G512"/>
    </x:row>
    <x:row r="513" ht="21" customHeight="1">
      <x:c r="A513"/>
      <x:c r="B513"/>
      <x:c r="C513"/>
      <x:c r="D513"/>
      <x:c r="E513"/>
      <x:c r="F513">
        <x:f t="shared" si="7"/>
      </x:c>
      <x:c r="G513"/>
    </x:row>
    <x:row r="514" ht="21" customHeight="1">
      <x:c r="A514"/>
      <x:c r="B514"/>
      <x:c r="C514"/>
      <x:c r="D514"/>
      <x:c r="E514"/>
      <x:c r="F514">
        <x:f t="shared" si="7"/>
      </x:c>
      <x:c r="G514"/>
    </x:row>
    <x:row r="515" ht="21" customHeight="1">
      <x:c r="A515"/>
      <x:c r="B515"/>
      <x:c r="C515"/>
      <x:c r="D515"/>
      <x:c r="E515"/>
      <x:c r="F515">
        <x:f t="shared" si="7"/>
      </x:c>
      <x:c r="G515"/>
    </x:row>
    <x:row r="516" ht="21" customHeight="1">
      <x:c r="A516"/>
      <x:c r="B516"/>
      <x:c r="C516"/>
      <x:c r="D516"/>
      <x:c r="E516"/>
      <x:c r="F516">
        <x:f t="shared" si="7"/>
      </x:c>
      <x:c r="G516"/>
    </x:row>
    <x:row r="517" ht="21" customHeight="1">
      <x:c r="A517"/>
      <x:c r="B517"/>
      <x:c r="C517"/>
      <x:c r="D517"/>
      <x:c r="E517"/>
      <x:c r="F517" t="str">
        <x:f t="shared" ref="F517:F524" si="8">IF(COUNTA(C517:E517)=0,"",C517*$J$2+(D517+E517)*$J$3)</x:f>
      </x:c>
      <x:c r="G517"/>
    </x:row>
    <x:row r="518" ht="21" customHeight="1">
      <x:c r="A518"/>
      <x:c r="B518"/>
      <x:c r="C518"/>
      <x:c r="D518"/>
      <x:c r="E518"/>
      <x:c r="F518">
        <x:f t="shared" si="8"/>
      </x:c>
      <x:c r="G518"/>
    </x:row>
    <x:row r="519" ht="21" customHeight="1">
      <x:c r="A519"/>
      <x:c r="B519"/>
      <x:c r="C519"/>
      <x:c r="D519"/>
      <x:c r="E519"/>
      <x:c r="F519">
        <x:f t="shared" si="8"/>
      </x:c>
      <x:c r="G519"/>
    </x:row>
    <x:row r="520" ht="21" customHeight="1">
      <x:c r="A520"/>
      <x:c r="B520"/>
      <x:c r="C520"/>
      <x:c r="D520"/>
      <x:c r="E520"/>
      <x:c r="F520">
        <x:f t="shared" si="8"/>
      </x:c>
      <x:c r="G520"/>
    </x:row>
    <x:row r="521" ht="21" customHeight="1">
      <x:c r="A521"/>
      <x:c r="B521"/>
      <x:c r="C521"/>
      <x:c r="D521"/>
      <x:c r="E521"/>
      <x:c r="F521">
        <x:f t="shared" si="8"/>
      </x:c>
      <x:c r="G521"/>
    </x:row>
    <x:row r="522" ht="21" customHeight="1">
      <x:c r="A522"/>
      <x:c r="B522"/>
      <x:c r="C522"/>
      <x:c r="D522"/>
      <x:c r="E522"/>
      <x:c r="F522">
        <x:f t="shared" si="8"/>
      </x:c>
      <x:c r="G522"/>
    </x:row>
    <x:row r="523" ht="21" customHeight="1">
      <x:c r="A523"/>
      <x:c r="B523"/>
      <x:c r="C523"/>
      <x:c r="D523"/>
      <x:c r="E523"/>
      <x:c r="F523">
        <x:f t="shared" si="8"/>
      </x:c>
      <x:c r="G523"/>
    </x:row>
    <x:row r="524" ht="21" customHeight="1">
      <x:c r="A524"/>
      <x:c r="B524"/>
      <x:c r="C524"/>
      <x:c r="D524"/>
      <x:c r="E524"/>
      <x:c r="F524">
        <x:f t="shared" si="8"/>
      </x:c>
      <x:c r="G524"/>
    </x:row>
  </x:sheetData>
  <x:mergeCells>
    <x:mergeCell ref="C3:E3"/>
    <x:mergeCell ref="G3:I3"/>
  </x:mergeCells>
  <x:conditionalFormatting sqref="M5:M68">
    <x:cfRule type="containsText" dxfId="4" priority="1" operator="containsText" text="จ่ายแล้ว"/>
    <x:cfRule type="containsText" dxfId="5" priority="2" operator="containsText" text="จ่ายบางส่วน"/>
    <x:cfRule type="containsText" dxfId="6" priority="3" operator="containsText" text="ยังไม่ได้จ่าย"/>
  </x:conditionalFormatting>
  <x:pageMargins left="0.7" right="0.7" top="0.75" bottom="0.75" header="0.3" footer="0.3"/>
  <x:tableParts count="1">
    <x:tablePart xmlns:r="http://schemas.openxmlformats.org/officeDocument/2006/relationships" r:id="R25f2c5990aed437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RowHeight="14"/>
  <x:cols>
    <x:col min="1" max="1" width="15" hidden="0" customWidth="1"/>
    <x:col min="2" max="2" width="28" hidden="0" customWidth="1"/>
    <x:col min="3" max="3" width="9" hidden="0" customWidth="1"/>
    <x:col min="4" max="4" width="9" hidden="0" customWidth="1"/>
    <x:col min="5" max="5" width="9" hidden="0" customWidth="1"/>
    <x:col min="6" max="6" width="3" hidden="0" customWidth="1"/>
    <x:col min="7" max="7" width="9" hidden="0" customWidth="1"/>
    <x:col min="9" max="9" width="9" hidden="0" customWidth="1"/>
    <x:col min="10" max="10" width="17" hidden="0" customWidth="1"/>
    <x:col min="8" max="8" width="9" hidden="0" customWidth="1"/>
    <x:col min="11" max="11" width="14" hidden="0" customWidth="1"/>
    <x:col min="12" max="12" width="14" hidden="0" customWidth="1"/>
    <x:col min="13" max="13" width="16" hidden="0" customWidth="1"/>
    <x:col min="14" max="14" width="42" hidden="0" customWidth="1"/>
    <x:col min="16" max="16" width="24" hidden="0" customWidth="1"/>
    <x:col min="17" max="17" width="12" hidden="0" customWidth="1"/>
  </x:cols>
  <x:sheetData>
    <x:row r="1" ht="20" customHeight="1">
      <x:c r="A1" s="19" t="str">
        <x:v>รหัสบูธ</x:v>
      </x:c>
      <x:c r="B1"/>
      <x:c r="C1"/>
      <x:c r="D1"/>
      <x:c r="E1"/>
      <x:c r="F1"/>
      <x:c r="G1"/>
      <x:c r="H1"/>
      <x:c r="I1"/>
      <x:c r="J1"/>
      <x:c r="P1" s="21" t="str">
        <x:v>ราคาต่อหน่วย</x:v>
      </x:c>
      <x:c r="Q1"/>
    </x:row>
    <x:row r="2">
      <x:c r="A2" s="20" t="str">
        <x:v>แปลน QD อัพเดท 18-9-69.pdf • รหัสบูธ 456 รายการ และชวนชิม 64 คูหา</x:v>
      </x:c>
      <x:c r="B2"/>
      <x:c r="C2"/>
      <x:c r="D2"/>
      <x:c r="E2"/>
      <x:c r="F2"/>
      <x:c r="G2"/>
      <x:c r="H2"/>
      <x:c r="I2"/>
      <x:c r="J2"/>
      <x:c r="P2" s="22" t="str">
        <x:v>ค่าเช่าถัง (บาท)</x:v>
      </x:c>
      <x:c r="Q2" s="69" t="n">
        <x:v>100</x:v>
      </x:c>
    </x:row>
    <x:row r="3" ht="24" customHeight="1">
      <x:c r="A3"/>
      <x:c r="B3"/>
      <x:c r="C3" s="47" t="str">
        <x:v>ยอดวันที่ 27/09/69</x:v>
      </x:c>
      <x:c r="D3" s="47"/>
      <x:c r="E3" s="47"/>
      <x:c r="F3" s="66"/>
      <x:c r="G3" s="47" t="str">
        <x:v>ยอดวันที่ 28/09/69</x:v>
      </x:c>
      <x:c r="H3" s="47"/>
      <x:c r="I3" s="47"/>
      <x:c r="J3"/>
      <x:c r="P3" s="22" t="str">
        <x:v>น้ำแข็ง/กระสอบ (บาท)</x:v>
      </x:c>
      <x:c r="Q3" s="69" t="n">
        <x:v>60</x:v>
      </x:c>
    </x:row>
    <x:row r="4" ht="25" customHeight="1">
      <x:c r="A4" s="49" t="str">
        <x:v>รหัส</x:v>
      </x:c>
      <x:c r="B4" s="49" t="str">
        <x:v>โซน</x:v>
      </x:c>
      <x:c r="C4" s="50" t="str">
        <x:v>ถัง</x:v>
      </x:c>
      <x:c r="D4" s="50" t="str">
        <x:v>เล็ก</x:v>
      </x:c>
      <x:c r="E4" s="50" t="str">
        <x:v>บด</x:v>
      </x:c>
      <x:c r="F4" s="67" t="str">
        <x:v>คั่น</x:v>
      </x:c>
      <x:c r="G4" s="50" t="str">
        <x:v>ถัง</x:v>
      </x:c>
      <x:c r="H4" s="50" t="str">
        <x:v>เล็ก</x:v>
      </x:c>
      <x:c r="I4" s="50" t="str">
        <x:v>บด</x:v>
      </x:c>
      <x:c r="J4" s="50" t="str">
        <x:v>รวมเงิน (บาท)</x:v>
      </x:c>
      <x:c r="K4" s="50" t="str">
        <x:v>ยอดชำระ</x:v>
      </x:c>
      <x:c r="L4" s="50" t="str">
        <x:v>ยอดค้าง</x:v>
      </x:c>
      <x:c r="M4" s="50" t="str">
        <x:v>สถานะ</x:v>
      </x:c>
      <x:c r="N4" s="49" t="str">
        <x:v>หมายเหตุ</x:v>
      </x:c>
    </x:row>
    <x:row r="5" ht="21" customHeight="1">
      <x:c r="A5" s="22" t="str">
        <x:v>C1-1</x:v>
      </x:c>
      <x:c r="B5" s="22" t="str">
        <x:v>ภาคกลาง</x:v>
      </x:c>
      <x:c r="C5" s="52"/>
      <x:c r="D5" s="52"/>
      <x:c r="E5" s="52"/>
      <x:c r="F5" s="66"/>
      <x:c r="G5" s="53"/>
      <x:c r="H5" s="53"/>
      <x:c r="I5" s="53"/>
      <x:c r="J5" s="60" t="str">
        <x:f>IF(COUNTA(C5:E5,G5:I5)=0,"",C5*$Q$2+(D5+E5)*$Q$3+G5*$Q$2+(H5+I5)*$Q$3)</x:f>
      </x:c>
      <x:c r="K5" s="61"/>
      <x:c r="L5" s="62" t="str">
        <x:f>IF(J5="","",MAX(J5-IF(K5="",0,K5),0))</x:f>
      </x:c>
      <x:c r="M5" s="59" t="str">
        <x:f>IF(J5="","",IF(K5&gt;=J5,"จ่ายแล้ว",IF(K5&gt;0,"จ่ายบางส่วน","ยังไม่ได้จ่าย")))</x:f>
      </x:c>
      <x:c r="N5" s="22"/>
    </x:row>
    <x:row r="6" ht="21" customHeight="1">
      <x:c r="A6" s="22" t="str">
        <x:v>C1-2</x:v>
      </x:c>
      <x:c r="B6" s="22" t="str">
        <x:v>ภาคกลาง</x:v>
      </x:c>
      <x:c r="C6" s="52"/>
      <x:c r="D6" s="52"/>
      <x:c r="E6" s="52"/>
      <x:c r="F6" s="66"/>
      <x:c r="G6" s="53"/>
      <x:c r="H6" s="53"/>
      <x:c r="I6" s="53"/>
      <x:c r="J6" s="60" t="str">
        <x:f>IF(COUNTA(C6:E6,G6:I6)=0,"",C6*$Q$2+(D6+E6)*$Q$3+G6*$Q$2+(H6+I6)*$Q$3)</x:f>
      </x:c>
      <x:c r="K6" s="61"/>
      <x:c r="L6" s="62" t="str">
        <x:f>IF(J6="","",MAX(J6-IF(K6="",0,K6),0))</x:f>
      </x:c>
      <x:c r="M6" s="59" t="str">
        <x:f>IF(J6="","",IF(K6&gt;=J6,"จ่ายแล้ว",IF(K6&gt;0,"จ่ายบางส่วน","ยังไม่ได้จ่าย")))</x:f>
      </x:c>
      <x:c r="N6" s="22"/>
    </x:row>
    <x:row r="7" ht="21" customHeight="1">
      <x:c r="A7" s="22" t="str">
        <x:v>C1-3</x:v>
      </x:c>
      <x:c r="B7" s="22" t="str">
        <x:v>ภาคกลาง</x:v>
      </x:c>
      <x:c r="C7" s="52"/>
      <x:c r="D7" s="52"/>
      <x:c r="E7" s="52"/>
      <x:c r="F7" s="66"/>
      <x:c r="G7" s="53"/>
      <x:c r="H7" s="53"/>
      <x:c r="I7" s="53"/>
      <x:c r="J7" s="60" t="str">
        <x:f>IF(COUNTA(C7:E7,G7:I7)=0,"",C7*$Q$2+(D7+E7)*$Q$3+G7*$Q$2+(H7+I7)*$Q$3)</x:f>
      </x:c>
      <x:c r="K7" s="61"/>
      <x:c r="L7" s="62" t="str">
        <x:f>IF(J7="","",MAX(J7-IF(K7="",0,K7),0))</x:f>
      </x:c>
      <x:c r="M7" s="59" t="str">
        <x:f>IF(J7="","",IF(K7&gt;=J7,"จ่ายแล้ว",IF(K7&gt;0,"จ่ายบางส่วน","ยังไม่ได้จ่าย")))</x:f>
      </x:c>
      <x:c r="N7" s="22"/>
    </x:row>
    <x:row r="8" ht="21" customHeight="1">
      <x:c r="A8" s="22" t="str">
        <x:v>C1-4</x:v>
      </x:c>
      <x:c r="B8" s="22" t="str">
        <x:v>ภาคกลาง</x:v>
      </x:c>
      <x:c r="C8" s="52"/>
      <x:c r="D8" s="52"/>
      <x:c r="E8" s="52"/>
      <x:c r="F8" s="66"/>
      <x:c r="G8" s="53"/>
      <x:c r="H8" s="53"/>
      <x:c r="I8" s="53"/>
      <x:c r="J8" s="60" t="str">
        <x:f>IF(COUNTA(C8:E8,G8:I8)=0,"",C8*$Q$2+(D8+E8)*$Q$3+G8*$Q$2+(H8+I8)*$Q$3)</x:f>
      </x:c>
      <x:c r="K8" s="61"/>
      <x:c r="L8" s="62" t="str">
        <x:f>IF(J8="","",MAX(J8-IF(K8="",0,K8),0))</x:f>
      </x:c>
      <x:c r="M8" s="59" t="str">
        <x:f>IF(J8="","",IF(K8&gt;=J8,"จ่ายแล้ว",IF(K8&gt;0,"จ่ายบางส่วน","ยังไม่ได้จ่าย")))</x:f>
      </x:c>
      <x:c r="N8" s="22"/>
    </x:row>
    <x:row r="9" ht="21" customHeight="1">
      <x:c r="A9" s="22" t="str">
        <x:v>C1-5</x:v>
      </x:c>
      <x:c r="B9" s="22" t="str">
        <x:v>ภาคกลาง</x:v>
      </x:c>
      <x:c r="C9" s="52"/>
      <x:c r="D9" s="52"/>
      <x:c r="E9" s="52"/>
      <x:c r="F9" s="66"/>
      <x:c r="G9" s="53"/>
      <x:c r="H9" s="53"/>
      <x:c r="I9" s="53"/>
      <x:c r="J9" s="60" t="str">
        <x:f>IF(COUNTA(C9:E9,G9:I9)=0,"",C9*$Q$2+(D9+E9)*$Q$3+G9*$Q$2+(H9+I9)*$Q$3)</x:f>
      </x:c>
      <x:c r="K9" s="61"/>
      <x:c r="L9" s="62" t="str">
        <x:f>IF(J9="","",MAX(J9-IF(K9="",0,K9),0))</x:f>
      </x:c>
      <x:c r="M9" s="59" t="str">
        <x:f>IF(J9="","",IF(K9&gt;=J9,"จ่ายแล้ว",IF(K9&gt;0,"จ่ายบางส่วน","ยังไม่ได้จ่าย")))</x:f>
      </x:c>
      <x:c r="N9" s="22"/>
    </x:row>
    <x:row r="10" ht="21" customHeight="1">
      <x:c r="A10" s="22" t="str">
        <x:v>C1-6</x:v>
      </x:c>
      <x:c r="B10" s="22" t="str">
        <x:v>ภาคกลาง</x:v>
      </x:c>
      <x:c r="C10" s="52"/>
      <x:c r="D10" s="52"/>
      <x:c r="E10" s="52" t="n">
        <x:v>1</x:v>
      </x:c>
      <x:c r="F10" s="66"/>
      <x:c r="G10" s="53"/>
      <x:c r="H10" s="53"/>
      <x:c r="I10" s="53"/>
      <x:c r="J10" s="60" t="n">
        <x:f>IF(COUNTA(C10:E10,G10:I10)=0,"",C10*$Q$2+(D10+E10)*$Q$3+G10*$Q$2+(H10+I10)*$Q$3)</x:f>
        <x:v>60</x:v>
      </x:c>
      <x:c r="K10" s="61" t="n">
        <x:v>0</x:v>
      </x:c>
      <x:c r="L10" s="62" t="n">
        <x:f>IF(J10="","",MAX(J10-IF(K10="",0,K10),0))</x:f>
        <x:v>60</x:v>
      </x:c>
      <x:c r="M10" s="59" t="str">
        <x:f>IF(J10="","",IF(K10&gt;=J10,"จ่ายแล้ว",IF(K10&gt;0,"จ่ายบางส่วน","ยังไม่ได้จ่าย")))</x:f>
        <x:v>ยังไม่ได้จ่าย</x:v>
      </x:c>
      <x:c r="N10" s="22"/>
    </x:row>
    <x:row r="11" ht="21" customHeight="1">
      <x:c r="A11" s="22" t="str">
        <x:v>C2-1</x:v>
      </x:c>
      <x:c r="B11" s="22" t="str">
        <x:v>ภาคกลาง</x:v>
      </x:c>
      <x:c r="C11" s="52"/>
      <x:c r="D11" s="52"/>
      <x:c r="E11" s="52"/>
      <x:c r="F11" s="66"/>
      <x:c r="G11" s="53"/>
      <x:c r="H11" s="53"/>
      <x:c r="I11" s="53"/>
      <x:c r="J11" s="60" t="str">
        <x:f>IF(COUNTA(C11:E11,G11:I11)=0,"",C11*$Q$2+(D11+E11)*$Q$3+G11*$Q$2+(H11+I11)*$Q$3)</x:f>
      </x:c>
      <x:c r="K11" s="61"/>
      <x:c r="L11" s="62" t="str">
        <x:f>IF(J11="","",MAX(J11-IF(K11="",0,K11),0))</x:f>
      </x:c>
      <x:c r="M11" s="59" t="str">
        <x:f>IF(J11="","",IF(K11&gt;=J11,"จ่ายแล้ว",IF(K11&gt;0,"จ่ายบางส่วน","ยังไม่ได้จ่าย")))</x:f>
      </x:c>
      <x:c r="N11" s="22"/>
    </x:row>
    <x:row r="12" ht="21" customHeight="1">
      <x:c r="A12" s="22" t="str">
        <x:v>C2-2</x:v>
      </x:c>
      <x:c r="B12" s="22" t="str">
        <x:v>ภาคกลาง</x:v>
      </x:c>
      <x:c r="C12" s="52"/>
      <x:c r="D12" s="52"/>
      <x:c r="E12" s="52"/>
      <x:c r="F12" s="66"/>
      <x:c r="G12" s="53"/>
      <x:c r="H12" s="53"/>
      <x:c r="I12" s="53"/>
      <x:c r="J12" s="60" t="str">
        <x:f>IF(COUNTA(C12:E12,G12:I12)=0,"",C12*$Q$2+(D12+E12)*$Q$3+G12*$Q$2+(H12+I12)*$Q$3)</x:f>
      </x:c>
      <x:c r="K12" s="61"/>
      <x:c r="L12" s="62" t="str">
        <x:f>IF(J12="","",MAX(J12-IF(K12="",0,K12),0))</x:f>
      </x:c>
      <x:c r="M12" s="59" t="str">
        <x:f>IF(J12="","",IF(K12&gt;=J12,"จ่ายแล้ว",IF(K12&gt;0,"จ่ายบางส่วน","ยังไม่ได้จ่าย")))</x:f>
      </x:c>
      <x:c r="N12" s="22"/>
    </x:row>
    <x:row r="13" ht="21" customHeight="1">
      <x:c r="A13" s="22" t="str">
        <x:v>C2-3</x:v>
      </x:c>
      <x:c r="B13" s="22" t="str">
        <x:v>ภาคกลาง</x:v>
      </x:c>
      <x:c r="C13" s="52"/>
      <x:c r="D13" s="52"/>
      <x:c r="E13" s="52"/>
      <x:c r="F13" s="66"/>
      <x:c r="G13" s="53"/>
      <x:c r="H13" s="53"/>
      <x:c r="I13" s="53"/>
      <x:c r="J13" s="60" t="str">
        <x:f>IF(COUNTA(C13:E13,G13:I13)=0,"",C13*$Q$2+(D13+E13)*$Q$3+G13*$Q$2+(H13+I13)*$Q$3)</x:f>
      </x:c>
      <x:c r="K13" s="61"/>
      <x:c r="L13" s="62" t="str">
        <x:f>IF(J13="","",MAX(J13-IF(K13="",0,K13),0))</x:f>
      </x:c>
      <x:c r="M13" s="59" t="str">
        <x:f>IF(J13="","",IF(K13&gt;=J13,"จ่ายแล้ว",IF(K13&gt;0,"จ่ายบางส่วน","ยังไม่ได้จ่าย")))</x:f>
      </x:c>
      <x:c r="N13" s="22"/>
    </x:row>
    <x:row r="14" ht="21" customHeight="1">
      <x:c r="A14" s="22" t="str">
        <x:v>C2-4</x:v>
      </x:c>
      <x:c r="B14" s="22" t="str">
        <x:v>ภาคกลาง</x:v>
      </x:c>
      <x:c r="C14" s="52"/>
      <x:c r="D14" s="52"/>
      <x:c r="E14" s="52"/>
      <x:c r="F14" s="66"/>
      <x:c r="G14" s="53"/>
      <x:c r="H14" s="53"/>
      <x:c r="I14" s="53"/>
      <x:c r="J14" s="60" t="str">
        <x:f>IF(COUNTA(C14:E14,G14:I14)=0,"",C14*$Q$2+(D14+E14)*$Q$3+G14*$Q$2+(H14+I14)*$Q$3)</x:f>
      </x:c>
      <x:c r="K14" s="61"/>
      <x:c r="L14" s="62" t="str">
        <x:f>IF(J14="","",MAX(J14-IF(K14="",0,K14),0))</x:f>
      </x:c>
      <x:c r="M14" s="59" t="str">
        <x:f>IF(J14="","",IF(K14&gt;=J14,"จ่ายแล้ว",IF(K14&gt;0,"จ่ายบางส่วน","ยังไม่ได้จ่าย")))</x:f>
      </x:c>
      <x:c r="N14" s="22"/>
    </x:row>
    <x:row r="15" ht="21" customHeight="1">
      <x:c r="A15" s="22" t="str">
        <x:v>C2-5</x:v>
      </x:c>
      <x:c r="B15" s="22" t="str">
        <x:v>ภาคกลาง</x:v>
      </x:c>
      <x:c r="C15" s="52"/>
      <x:c r="D15" s="52"/>
      <x:c r="E15" s="52"/>
      <x:c r="F15" s="66"/>
      <x:c r="G15" s="53"/>
      <x:c r="H15" s="53"/>
      <x:c r="I15" s="53"/>
      <x:c r="J15" s="60" t="str">
        <x:f>IF(COUNTA(C15:E15,G15:I15)=0,"",C15*$Q$2+(D15+E15)*$Q$3+G15*$Q$2+(H15+I15)*$Q$3)</x:f>
      </x:c>
      <x:c r="K15" s="61"/>
      <x:c r="L15" s="62" t="str">
        <x:f>IF(J15="","",MAX(J15-IF(K15="",0,K15),0))</x:f>
      </x:c>
      <x:c r="M15" s="59" t="str">
        <x:f>IF(J15="","",IF(K15&gt;=J15,"จ่ายแล้ว",IF(K15&gt;0,"จ่ายบางส่วน","ยังไม่ได้จ่าย")))</x:f>
      </x:c>
      <x:c r="N15" s="22"/>
    </x:row>
    <x:row r="16" ht="21" customHeight="1">
      <x:c r="A16" s="22" t="str">
        <x:v>C2-6</x:v>
      </x:c>
      <x:c r="B16" s="22" t="str">
        <x:v>ภาคกลาง</x:v>
      </x:c>
      <x:c r="C16" s="52"/>
      <x:c r="D16" s="52"/>
      <x:c r="E16" s="52"/>
      <x:c r="F16" s="66"/>
      <x:c r="G16" s="53"/>
      <x:c r="H16" s="53"/>
      <x:c r="I16" s="53"/>
      <x:c r="J16" s="60" t="str">
        <x:f>IF(COUNTA(C16:E16,G16:I16)=0,"",C16*$Q$2+(D16+E16)*$Q$3+G16*$Q$2+(H16+I16)*$Q$3)</x:f>
      </x:c>
      <x:c r="K16" s="61"/>
      <x:c r="L16" s="62" t="str">
        <x:f>IF(J16="","",MAX(J16-IF(K16="",0,K16),0))</x:f>
      </x:c>
      <x:c r="M16" s="59" t="str">
        <x:f>IF(J16="","",IF(K16&gt;=J16,"จ่ายแล้ว",IF(K16&gt;0,"จ่ายบางส่วน","ยังไม่ได้จ่าย")))</x:f>
      </x:c>
      <x:c r="N16" s="22"/>
    </x:row>
    <x:row r="17" ht="21" customHeight="1">
      <x:c r="A17" s="22" t="str">
        <x:v>C3-1</x:v>
      </x:c>
      <x:c r="B17" s="22" t="str">
        <x:v>ภาคกลาง</x:v>
      </x:c>
      <x:c r="C17" s="52"/>
      <x:c r="D17" s="52"/>
      <x:c r="E17" s="52"/>
      <x:c r="F17" s="66"/>
      <x:c r="G17" s="53"/>
      <x:c r="H17" s="53"/>
      <x:c r="I17" s="53"/>
      <x:c r="J17" s="60" t="str">
        <x:f>IF(COUNTA(C17:E17,G17:I17)=0,"",C17*$Q$2+(D17+E17)*$Q$3+G17*$Q$2+(H17+I17)*$Q$3)</x:f>
      </x:c>
      <x:c r="K17" s="61"/>
      <x:c r="L17" s="62" t="str">
        <x:f>IF(J17="","",MAX(J17-IF(K17="",0,K17),0))</x:f>
      </x:c>
      <x:c r="M17" s="59" t="str">
        <x:f>IF(J17="","",IF(K17&gt;=J17,"จ่ายแล้ว",IF(K17&gt;0,"จ่ายบางส่วน","ยังไม่ได้จ่าย")))</x:f>
      </x:c>
      <x:c r="N17" s="22"/>
    </x:row>
    <x:row r="18" ht="21" customHeight="1">
      <x:c r="A18" s="22" t="str">
        <x:v>C3-2</x:v>
      </x:c>
      <x:c r="B18" s="22" t="str">
        <x:v>ภาคกลาง</x:v>
      </x:c>
      <x:c r="C18" s="52"/>
      <x:c r="D18" s="52"/>
      <x:c r="E18" s="52"/>
      <x:c r="F18" s="66"/>
      <x:c r="G18" s="53"/>
      <x:c r="H18" s="53"/>
      <x:c r="I18" s="53"/>
      <x:c r="J18" s="60" t="str">
        <x:f>IF(COUNTA(C18:E18,G18:I18)=0,"",C18*$Q$2+(D18+E18)*$Q$3+G18*$Q$2+(H18+I18)*$Q$3)</x:f>
      </x:c>
      <x:c r="K18" s="61"/>
      <x:c r="L18" s="62" t="str">
        <x:f>IF(J18="","",MAX(J18-IF(K18="",0,K18),0))</x:f>
      </x:c>
      <x:c r="M18" s="59" t="str">
        <x:f>IF(J18="","",IF(K18&gt;=J18,"จ่ายแล้ว",IF(K18&gt;0,"จ่ายบางส่วน","ยังไม่ได้จ่าย")))</x:f>
      </x:c>
      <x:c r="N18" s="22"/>
    </x:row>
    <x:row r="19" ht="21" customHeight="1">
      <x:c r="A19" s="22" t="str">
        <x:v>C3-3</x:v>
      </x:c>
      <x:c r="B19" s="22" t="str">
        <x:v>ภาคกลาง</x:v>
      </x:c>
      <x:c r="C19" s="52"/>
      <x:c r="D19" s="52"/>
      <x:c r="E19" s="52"/>
      <x:c r="F19" s="66"/>
      <x:c r="G19" s="53"/>
      <x:c r="H19" s="53"/>
      <x:c r="I19" s="53"/>
      <x:c r="J19" s="60" t="str">
        <x:f>IF(COUNTA(C19:E19,G19:I19)=0,"",C19*$Q$2+(D19+E19)*$Q$3+G19*$Q$2+(H19+I19)*$Q$3)</x:f>
      </x:c>
      <x:c r="K19" s="61"/>
      <x:c r="L19" s="62" t="str">
        <x:f>IF(J19="","",MAX(J19-IF(K19="",0,K19),0))</x:f>
      </x:c>
      <x:c r="M19" s="59" t="str">
        <x:f>IF(J19="","",IF(K19&gt;=J19,"จ่ายแล้ว",IF(K19&gt;0,"จ่ายบางส่วน","ยังไม่ได้จ่าย")))</x:f>
      </x:c>
      <x:c r="N19" s="22"/>
    </x:row>
    <x:row r="20" ht="21" customHeight="1">
      <x:c r="A20" s="22" t="str">
        <x:v>C3-4</x:v>
      </x:c>
      <x:c r="B20" s="22" t="str">
        <x:v>ภาคกลาง</x:v>
      </x:c>
      <x:c r="C20" s="52"/>
      <x:c r="D20" s="52"/>
      <x:c r="E20" s="52"/>
      <x:c r="F20" s="66"/>
      <x:c r="G20" s="53"/>
      <x:c r="H20" s="53"/>
      <x:c r="I20" s="53"/>
      <x:c r="J20" s="60" t="str">
        <x:f>IF(COUNTA(C20:E20,G20:I20)=0,"",C20*$Q$2+(D20+E20)*$Q$3+G20*$Q$2+(H20+I20)*$Q$3)</x:f>
      </x:c>
      <x:c r="K20" s="61"/>
      <x:c r="L20" s="62" t="str">
        <x:f>IF(J20="","",MAX(J20-IF(K20="",0,K20),0))</x:f>
      </x:c>
      <x:c r="M20" s="59" t="str">
        <x:f>IF(J20="","",IF(K20&gt;=J20,"จ่ายแล้ว",IF(K20&gt;0,"จ่ายบางส่วน","ยังไม่ได้จ่าย")))</x:f>
      </x:c>
      <x:c r="N20" s="22"/>
    </x:row>
    <x:row r="21" ht="21" customHeight="1">
      <x:c r="A21" s="22" t="str">
        <x:v>C3-5</x:v>
      </x:c>
      <x:c r="B21" s="22" t="str">
        <x:v>ภาคกลาง</x:v>
      </x:c>
      <x:c r="C21" s="52"/>
      <x:c r="D21" s="52"/>
      <x:c r="E21" s="52"/>
      <x:c r="F21" s="66"/>
      <x:c r="G21" s="53"/>
      <x:c r="H21" s="53"/>
      <x:c r="I21" s="53"/>
      <x:c r="J21" s="60" t="str">
        <x:f>IF(COUNTA(C21:E21,G21:I21)=0,"",C21*$Q$2+(D21+E21)*$Q$3+G21*$Q$2+(H21+I21)*$Q$3)</x:f>
      </x:c>
      <x:c r="K21" s="61"/>
      <x:c r="L21" s="62" t="str">
        <x:f>IF(J21="","",MAX(J21-IF(K21="",0,K21),0))</x:f>
      </x:c>
      <x:c r="M21" s="59" t="str">
        <x:f>IF(J21="","",IF(K21&gt;=J21,"จ่ายแล้ว",IF(K21&gt;0,"จ่ายบางส่วน","ยังไม่ได้จ่าย")))</x:f>
      </x:c>
      <x:c r="N21" s="22"/>
    </x:row>
    <x:row r="22" ht="21" customHeight="1">
      <x:c r="A22" s="22" t="str">
        <x:v>C3-6</x:v>
      </x:c>
      <x:c r="B22" s="22" t="str">
        <x:v>ภาคกลาง</x:v>
      </x:c>
      <x:c r="C22" s="52"/>
      <x:c r="D22" s="52"/>
      <x:c r="E22" s="52"/>
      <x:c r="F22" s="66"/>
      <x:c r="G22" s="53"/>
      <x:c r="H22" s="53"/>
      <x:c r="I22" s="53"/>
      <x:c r="J22" s="60" t="str">
        <x:f>IF(COUNTA(C22:E22,G22:I22)=0,"",C22*$Q$2+(D22+E22)*$Q$3+G22*$Q$2+(H22+I22)*$Q$3)</x:f>
      </x:c>
      <x:c r="K22" s="61"/>
      <x:c r="L22" s="62" t="str">
        <x:f>IF(J22="","",MAX(J22-IF(K22="",0,K22),0))</x:f>
      </x:c>
      <x:c r="M22" s="59" t="str">
        <x:f>IF(J22="","",IF(K22&gt;=J22,"จ่ายแล้ว",IF(K22&gt;0,"จ่ายบางส่วน","ยังไม่ได้จ่าย")))</x:f>
      </x:c>
      <x:c r="N22" s="22"/>
    </x:row>
    <x:row r="23" ht="21" customHeight="1">
      <x:c r="A23" s="22" t="str">
        <x:v>C4-1</x:v>
      </x:c>
      <x:c r="B23" s="22" t="str">
        <x:v>ภาคกลาง</x:v>
      </x:c>
      <x:c r="C23" s="52"/>
      <x:c r="D23" s="52"/>
      <x:c r="E23" s="52"/>
      <x:c r="F23" s="66"/>
      <x:c r="G23" s="53"/>
      <x:c r="H23" s="53"/>
      <x:c r="I23" s="53"/>
      <x:c r="J23" s="60" t="str">
        <x:f>IF(COUNTA(C23:E23,G23:I23)=0,"",C23*$Q$2+(D23+E23)*$Q$3+G23*$Q$2+(H23+I23)*$Q$3)</x:f>
      </x:c>
      <x:c r="K23" s="61"/>
      <x:c r="L23" s="62" t="str">
        <x:f>IF(J23="","",MAX(J23-IF(K23="",0,K23),0))</x:f>
      </x:c>
      <x:c r="M23" s="59" t="str">
        <x:f>IF(J23="","",IF(K23&gt;=J23,"จ่ายแล้ว",IF(K23&gt;0,"จ่ายบางส่วน","ยังไม่ได้จ่าย")))</x:f>
      </x:c>
      <x:c r="N23" s="22"/>
    </x:row>
    <x:row r="24" ht="21" customHeight="1">
      <x:c r="A24" s="22" t="str">
        <x:v>C4-2</x:v>
      </x:c>
      <x:c r="B24" s="22" t="str">
        <x:v>ภาคกลาง</x:v>
      </x:c>
      <x:c r="C24" s="52"/>
      <x:c r="D24" s="52"/>
      <x:c r="E24" s="52"/>
      <x:c r="F24" s="66"/>
      <x:c r="G24" s="53"/>
      <x:c r="H24" s="53"/>
      <x:c r="I24" s="53"/>
      <x:c r="J24" s="60" t="str">
        <x:f>IF(COUNTA(C24:E24,G24:I24)=0,"",C24*$Q$2+(D24+E24)*$Q$3+G24*$Q$2+(H24+I24)*$Q$3)</x:f>
      </x:c>
      <x:c r="K24" s="61"/>
      <x:c r="L24" s="62" t="str">
        <x:f>IF(J24="","",MAX(J24-IF(K24="",0,K24),0))</x:f>
      </x:c>
      <x:c r="M24" s="59" t="str">
        <x:f>IF(J24="","",IF(K24&gt;=J24,"จ่ายแล้ว",IF(K24&gt;0,"จ่ายบางส่วน","ยังไม่ได้จ่าย")))</x:f>
      </x:c>
      <x:c r="N24" s="22"/>
    </x:row>
    <x:row r="25" ht="21" customHeight="1">
      <x:c r="A25" s="22" t="str">
        <x:v>C4-3</x:v>
      </x:c>
      <x:c r="B25" s="22" t="str">
        <x:v>ภาคกลาง</x:v>
      </x:c>
      <x:c r="C25" s="52"/>
      <x:c r="D25" s="52"/>
      <x:c r="E25" s="52"/>
      <x:c r="F25" s="66"/>
      <x:c r="G25" s="53"/>
      <x:c r="H25" s="53"/>
      <x:c r="I25" s="53"/>
      <x:c r="J25" s="60" t="str">
        <x:f>IF(COUNTA(C25:E25,G25:I25)=0,"",C25*$Q$2+(D25+E25)*$Q$3+G25*$Q$2+(H25+I25)*$Q$3)</x:f>
      </x:c>
      <x:c r="K25" s="61"/>
      <x:c r="L25" s="62" t="str">
        <x:f>IF(J25="","",MAX(J25-IF(K25="",0,K25),0))</x:f>
      </x:c>
      <x:c r="M25" s="59" t="str">
        <x:f>IF(J25="","",IF(K25&gt;=J25,"จ่ายแล้ว",IF(K25&gt;0,"จ่ายบางส่วน","ยังไม่ได้จ่าย")))</x:f>
      </x:c>
      <x:c r="N25" s="22"/>
    </x:row>
    <x:row r="26" ht="21" customHeight="1">
      <x:c r="A26" s="22" t="str">
        <x:v>C4-4</x:v>
      </x:c>
      <x:c r="B26" s="22" t="str">
        <x:v>ภาคกลาง</x:v>
      </x:c>
      <x:c r="C26" s="52"/>
      <x:c r="D26" s="52"/>
      <x:c r="E26" s="52"/>
      <x:c r="F26" s="66"/>
      <x:c r="G26" s="53"/>
      <x:c r="H26" s="53"/>
      <x:c r="I26" s="53"/>
      <x:c r="J26" s="60" t="str">
        <x:f>IF(COUNTA(C26:E26,G26:I26)=0,"",C26*$Q$2+(D26+E26)*$Q$3+G26*$Q$2+(H26+I26)*$Q$3)</x:f>
      </x:c>
      <x:c r="K26" s="61"/>
      <x:c r="L26" s="62" t="str">
        <x:f>IF(J26="","",MAX(J26-IF(K26="",0,K26),0))</x:f>
      </x:c>
      <x:c r="M26" s="59" t="str">
        <x:f>IF(J26="","",IF(K26&gt;=J26,"จ่ายแล้ว",IF(K26&gt;0,"จ่ายบางส่วน","ยังไม่ได้จ่าย")))</x:f>
      </x:c>
      <x:c r="N26" s="22"/>
    </x:row>
    <x:row r="27" ht="21" customHeight="1">
      <x:c r="A27" s="22" t="str">
        <x:v>C4-5</x:v>
      </x:c>
      <x:c r="B27" s="22" t="str">
        <x:v>ภาคกลาง</x:v>
      </x:c>
      <x:c r="C27" s="52"/>
      <x:c r="D27" s="52"/>
      <x:c r="E27" s="52"/>
      <x:c r="F27" s="66"/>
      <x:c r="G27" s="53"/>
      <x:c r="H27" s="53"/>
      <x:c r="I27" s="53"/>
      <x:c r="J27" s="60" t="str">
        <x:f>IF(COUNTA(C27:E27,G27:I27)=0,"",C27*$Q$2+(D27+E27)*$Q$3+G27*$Q$2+(H27+I27)*$Q$3)</x:f>
      </x:c>
      <x:c r="K27" s="61"/>
      <x:c r="L27" s="62" t="str">
        <x:f>IF(J27="","",MAX(J27-IF(K27="",0,K27),0))</x:f>
      </x:c>
      <x:c r="M27" s="59" t="str">
        <x:f>IF(J27="","",IF(K27&gt;=J27,"จ่ายแล้ว",IF(K27&gt;0,"จ่ายบางส่วน","ยังไม่ได้จ่าย")))</x:f>
      </x:c>
      <x:c r="N27" s="22"/>
    </x:row>
    <x:row r="28" ht="21" customHeight="1">
      <x:c r="A28" s="22" t="str">
        <x:v>C4-6</x:v>
      </x:c>
      <x:c r="B28" s="22" t="str">
        <x:v>ภาคกลาง</x:v>
      </x:c>
      <x:c r="C28" s="52"/>
      <x:c r="D28" s="52"/>
      <x:c r="E28" s="52"/>
      <x:c r="F28" s="66"/>
      <x:c r="G28" s="53"/>
      <x:c r="H28" s="53"/>
      <x:c r="I28" s="53"/>
      <x:c r="J28" s="60" t="str">
        <x:f>IF(COUNTA(C28:E28,G28:I28)=0,"",C28*$Q$2+(D28+E28)*$Q$3+G28*$Q$2+(H28+I28)*$Q$3)</x:f>
      </x:c>
      <x:c r="K28" s="61"/>
      <x:c r="L28" s="62" t="str">
        <x:f>IF(J28="","",MAX(J28-IF(K28="",0,K28),0))</x:f>
      </x:c>
      <x:c r="M28" s="59" t="str">
        <x:f>IF(J28="","",IF(K28&gt;=J28,"จ่ายแล้ว",IF(K28&gt;0,"จ่ายบางส่วน","ยังไม่ได้จ่าย")))</x:f>
      </x:c>
      <x:c r="N28" s="22"/>
    </x:row>
    <x:row r="29" ht="21" customHeight="1">
      <x:c r="A29" s="22" t="str">
        <x:v>C5-1</x:v>
      </x:c>
      <x:c r="B29" s="22" t="str">
        <x:v>ภาคกลาง</x:v>
      </x:c>
      <x:c r="C29" s="52"/>
      <x:c r="D29" s="52"/>
      <x:c r="E29" s="52"/>
      <x:c r="F29" s="66"/>
      <x:c r="G29" s="53"/>
      <x:c r="H29" s="53"/>
      <x:c r="I29" s="53"/>
      <x:c r="J29" s="60" t="str">
        <x:f>IF(COUNTA(C29:E29,G29:I29)=0,"",C29*$Q$2+(D29+E29)*$Q$3+G29*$Q$2+(H29+I29)*$Q$3)</x:f>
      </x:c>
      <x:c r="K29" s="61"/>
      <x:c r="L29" s="62" t="str">
        <x:f>IF(J29="","",MAX(J29-IF(K29="",0,K29),0))</x:f>
      </x:c>
      <x:c r="M29" s="59" t="str">
        <x:f>IF(J29="","",IF(K29&gt;=J29,"จ่ายแล้ว",IF(K29&gt;0,"จ่ายบางส่วน","ยังไม่ได้จ่าย")))</x:f>
      </x:c>
      <x:c r="N29" s="22"/>
    </x:row>
    <x:row r="30" ht="21" customHeight="1">
      <x:c r="A30" s="22" t="str">
        <x:v>C5-2</x:v>
      </x:c>
      <x:c r="B30" s="22" t="str">
        <x:v>ภาคกลาง</x:v>
      </x:c>
      <x:c r="C30" s="52"/>
      <x:c r="D30" s="52"/>
      <x:c r="E30" s="52"/>
      <x:c r="F30" s="66"/>
      <x:c r="G30" s="53"/>
      <x:c r="H30" s="53"/>
      <x:c r="I30" s="53"/>
      <x:c r="J30" s="60" t="str">
        <x:f>IF(COUNTA(C30:E30,G30:I30)=0,"",C30*$Q$2+(D30+E30)*$Q$3+G30*$Q$2+(H30+I30)*$Q$3)</x:f>
      </x:c>
      <x:c r="K30" s="61"/>
      <x:c r="L30" s="62" t="str">
        <x:f>IF(J30="","",MAX(J30-IF(K30="",0,K30),0))</x:f>
      </x:c>
      <x:c r="M30" s="59" t="str">
        <x:f>IF(J30="","",IF(K30&gt;=J30,"จ่ายแล้ว",IF(K30&gt;0,"จ่ายบางส่วน","ยังไม่ได้จ่าย")))</x:f>
      </x:c>
      <x:c r="N30" s="22"/>
    </x:row>
    <x:row r="31" ht="21" customHeight="1">
      <x:c r="A31" s="22" t="str">
        <x:v>C5-3</x:v>
      </x:c>
      <x:c r="B31" s="22" t="str">
        <x:v>ภาคกลาง</x:v>
      </x:c>
      <x:c r="C31" s="52"/>
      <x:c r="D31" s="52"/>
      <x:c r="E31" s="52"/>
      <x:c r="F31" s="66"/>
      <x:c r="G31" s="53"/>
      <x:c r="H31" s="53"/>
      <x:c r="I31" s="53"/>
      <x:c r="J31" s="60" t="str">
        <x:f>IF(COUNTA(C31:E31,G31:I31)=0,"",C31*$Q$2+(D31+E31)*$Q$3+G31*$Q$2+(H31+I31)*$Q$3)</x:f>
      </x:c>
      <x:c r="K31" s="61"/>
      <x:c r="L31" s="62" t="str">
        <x:f>IF(J31="","",MAX(J31-IF(K31="",0,K31),0))</x:f>
      </x:c>
      <x:c r="M31" s="59" t="str">
        <x:f>IF(J31="","",IF(K31&gt;=J31,"จ่ายแล้ว",IF(K31&gt;0,"จ่ายบางส่วน","ยังไม่ได้จ่าย")))</x:f>
      </x:c>
      <x:c r="N31" s="22"/>
    </x:row>
    <x:row r="32" ht="21" customHeight="1">
      <x:c r="A32" s="22" t="str">
        <x:v>C5-4</x:v>
      </x:c>
      <x:c r="B32" s="22" t="str">
        <x:v>ภาคกลาง</x:v>
      </x:c>
      <x:c r="C32" s="52"/>
      <x:c r="D32" s="52"/>
      <x:c r="E32" s="52"/>
      <x:c r="F32" s="66"/>
      <x:c r="G32" s="53"/>
      <x:c r="H32" s="53"/>
      <x:c r="I32" s="53"/>
      <x:c r="J32" s="60" t="str">
        <x:f>IF(COUNTA(C32:E32,G32:I32)=0,"",C32*$Q$2+(D32+E32)*$Q$3+G32*$Q$2+(H32+I32)*$Q$3)</x:f>
      </x:c>
      <x:c r="K32" s="61"/>
      <x:c r="L32" s="62" t="str">
        <x:f>IF(J32="","",MAX(J32-IF(K32="",0,K32),0))</x:f>
      </x:c>
      <x:c r="M32" s="59" t="str">
        <x:f>IF(J32="","",IF(K32&gt;=J32,"จ่ายแล้ว",IF(K32&gt;0,"จ่ายบางส่วน","ยังไม่ได้จ่าย")))</x:f>
      </x:c>
      <x:c r="N32" s="22"/>
    </x:row>
    <x:row r="33" ht="21" customHeight="1">
      <x:c r="A33" s="22" t="str">
        <x:v>C5-5</x:v>
      </x:c>
      <x:c r="B33" s="22" t="str">
        <x:v>ภาคกลาง</x:v>
      </x:c>
      <x:c r="C33" s="52"/>
      <x:c r="D33" s="52"/>
      <x:c r="E33" s="52"/>
      <x:c r="F33" s="66"/>
      <x:c r="G33" s="53"/>
      <x:c r="H33" s="53"/>
      <x:c r="I33" s="53"/>
      <x:c r="J33" s="60" t="str">
        <x:f>IF(COUNTA(C33:E33,G33:I33)=0,"",C33*$Q$2+(D33+E33)*$Q$3+G33*$Q$2+(H33+I33)*$Q$3)</x:f>
      </x:c>
      <x:c r="K33" s="61"/>
      <x:c r="L33" s="62" t="str">
        <x:f>IF(J33="","",MAX(J33-IF(K33="",0,K33),0))</x:f>
      </x:c>
      <x:c r="M33" s="59" t="str">
        <x:f>IF(J33="","",IF(K33&gt;=J33,"จ่ายแล้ว",IF(K33&gt;0,"จ่ายบางส่วน","ยังไม่ได้จ่าย")))</x:f>
      </x:c>
      <x:c r="N33" s="22"/>
    </x:row>
    <x:row r="34" ht="21" customHeight="1">
      <x:c r="A34" s="22" t="str">
        <x:v>C5-6</x:v>
      </x:c>
      <x:c r="B34" s="22" t="str">
        <x:v>ภาคกลาง</x:v>
      </x:c>
      <x:c r="C34" s="52"/>
      <x:c r="D34" s="52"/>
      <x:c r="E34" s="52"/>
      <x:c r="F34" s="66"/>
      <x:c r="G34" s="53"/>
      <x:c r="H34" s="53"/>
      <x:c r="I34" s="53"/>
      <x:c r="J34" s="60" t="str">
        <x:f>IF(COUNTA(C34:E34,G34:I34)=0,"",C34*$Q$2+(D34+E34)*$Q$3+G34*$Q$2+(H34+I34)*$Q$3)</x:f>
      </x:c>
      <x:c r="K34" s="61"/>
      <x:c r="L34" s="62" t="str">
        <x:f>IF(J34="","",MAX(J34-IF(K34="",0,K34),0))</x:f>
      </x:c>
      <x:c r="M34" s="59" t="str">
        <x:f>IF(J34="","",IF(K34&gt;=J34,"จ่ายแล้ว",IF(K34&gt;0,"จ่ายบางส่วน","ยังไม่ได้จ่าย")))</x:f>
      </x:c>
      <x:c r="N34" s="22"/>
    </x:row>
    <x:row r="35" ht="21" customHeight="1">
      <x:c r="A35" s="22" t="str">
        <x:v>C6-1</x:v>
      </x:c>
      <x:c r="B35" s="22" t="str">
        <x:v>ภาคกลาง</x:v>
      </x:c>
      <x:c r="C35" s="52"/>
      <x:c r="D35" s="52"/>
      <x:c r="E35" s="52"/>
      <x:c r="F35" s="66"/>
      <x:c r="G35" s="53"/>
      <x:c r="H35" s="53"/>
      <x:c r="I35" s="53"/>
      <x:c r="J35" s="60" t="str">
        <x:f>IF(COUNTA(C35:E35,G35:I35)=0,"",C35*$Q$2+(D35+E35)*$Q$3+G35*$Q$2+(H35+I35)*$Q$3)</x:f>
      </x:c>
      <x:c r="K35" s="61"/>
      <x:c r="L35" s="62" t="str">
        <x:f>IF(J35="","",MAX(J35-IF(K35="",0,K35),0))</x:f>
      </x:c>
      <x:c r="M35" s="59" t="str">
        <x:f>IF(J35="","",IF(K35&gt;=J35,"จ่ายแล้ว",IF(K35&gt;0,"จ่ายบางส่วน","ยังไม่ได้จ่าย")))</x:f>
      </x:c>
      <x:c r="N35" s="22"/>
    </x:row>
    <x:row r="36" ht="21" customHeight="1">
      <x:c r="A36" s="22" t="str">
        <x:v>C6-2</x:v>
      </x:c>
      <x:c r="B36" s="22" t="str">
        <x:v>ภาคกลาง</x:v>
      </x:c>
      <x:c r="C36" s="52"/>
      <x:c r="D36" s="52"/>
      <x:c r="E36" s="52"/>
      <x:c r="F36" s="66"/>
      <x:c r="G36" s="53"/>
      <x:c r="H36" s="53"/>
      <x:c r="I36" s="53"/>
      <x:c r="J36" s="60" t="str">
        <x:f>IF(COUNTA(C36:E36,G36:I36)=0,"",C36*$Q$2+(D36+E36)*$Q$3+G36*$Q$2+(H36+I36)*$Q$3)</x:f>
      </x:c>
      <x:c r="K36" s="61"/>
      <x:c r="L36" s="62" t="str">
        <x:f>IF(J36="","",MAX(J36-IF(K36="",0,K36),0))</x:f>
      </x:c>
      <x:c r="M36" s="59" t="str">
        <x:f>IF(J36="","",IF(K36&gt;=J36,"จ่ายแล้ว",IF(K36&gt;0,"จ่ายบางส่วน","ยังไม่ได้จ่าย")))</x:f>
      </x:c>
      <x:c r="N36" s="22"/>
    </x:row>
    <x:row r="37" ht="21" customHeight="1">
      <x:c r="A37" s="22" t="str">
        <x:v>C6-3</x:v>
      </x:c>
      <x:c r="B37" s="22" t="str">
        <x:v>ภาคกลาง</x:v>
      </x:c>
      <x:c r="C37" s="52"/>
      <x:c r="D37" s="52"/>
      <x:c r="E37" s="52"/>
      <x:c r="F37" s="66"/>
      <x:c r="G37" s="53"/>
      <x:c r="H37" s="53"/>
      <x:c r="I37" s="53"/>
      <x:c r="J37" s="60" t="str">
        <x:f>IF(COUNTA(C37:E37,G37:I37)=0,"",C37*$Q$2+(D37+E37)*$Q$3+G37*$Q$2+(H37+I37)*$Q$3)</x:f>
      </x:c>
      <x:c r="K37" s="61"/>
      <x:c r="L37" s="62" t="str">
        <x:f>IF(J37="","",MAX(J37-IF(K37="",0,K37),0))</x:f>
      </x:c>
      <x:c r="M37" s="59" t="str">
        <x:f>IF(J37="","",IF(K37&gt;=J37,"จ่ายแล้ว",IF(K37&gt;0,"จ่ายบางส่วน","ยังไม่ได้จ่าย")))</x:f>
      </x:c>
      <x:c r="N37" s="22"/>
    </x:row>
    <x:row r="38" ht="21" customHeight="1">
      <x:c r="A38" s="22" t="str">
        <x:v>C6-4</x:v>
      </x:c>
      <x:c r="B38" s="22" t="str">
        <x:v>ภาคกลาง</x:v>
      </x:c>
      <x:c r="C38" s="52"/>
      <x:c r="D38" s="52"/>
      <x:c r="E38" s="52"/>
      <x:c r="F38" s="66"/>
      <x:c r="G38" s="53"/>
      <x:c r="H38" s="53"/>
      <x:c r="I38" s="53"/>
      <x:c r="J38" s="60" t="str">
        <x:f>IF(COUNTA(C38:E38,G38:I38)=0,"",C38*$Q$2+(D38+E38)*$Q$3+G38*$Q$2+(H38+I38)*$Q$3)</x:f>
      </x:c>
      <x:c r="K38" s="61"/>
      <x:c r="L38" s="62" t="str">
        <x:f>IF(J38="","",MAX(J38-IF(K38="",0,K38),0))</x:f>
      </x:c>
      <x:c r="M38" s="59" t="str">
        <x:f>IF(J38="","",IF(K38&gt;=J38,"จ่ายแล้ว",IF(K38&gt;0,"จ่ายบางส่วน","ยังไม่ได้จ่าย")))</x:f>
      </x:c>
      <x:c r="N38" s="22"/>
    </x:row>
    <x:row r="39" ht="21" customHeight="1">
      <x:c r="A39" s="22" t="str">
        <x:v>C6-5</x:v>
      </x:c>
      <x:c r="B39" s="22" t="str">
        <x:v>ภาคกลาง</x:v>
      </x:c>
      <x:c r="C39" s="52"/>
      <x:c r="D39" s="52"/>
      <x:c r="E39" s="52"/>
      <x:c r="F39" s="66"/>
      <x:c r="G39" s="53"/>
      <x:c r="H39" s="53"/>
      <x:c r="I39" s="53"/>
      <x:c r="J39" s="60" t="str">
        <x:f>IF(COUNTA(C39:E39,G39:I39)=0,"",C39*$Q$2+(D39+E39)*$Q$3+G39*$Q$2+(H39+I39)*$Q$3)</x:f>
      </x:c>
      <x:c r="K39" s="61"/>
      <x:c r="L39" s="62" t="str">
        <x:f>IF(J39="","",MAX(J39-IF(K39="",0,K39),0))</x:f>
      </x:c>
      <x:c r="M39" s="59" t="str">
        <x:f>IF(J39="","",IF(K39&gt;=J39,"จ่ายแล้ว",IF(K39&gt;0,"จ่ายบางส่วน","ยังไม่ได้จ่าย")))</x:f>
      </x:c>
      <x:c r="N39" s="22"/>
    </x:row>
    <x:row r="40" ht="21" customHeight="1">
      <x:c r="A40" s="22" t="str">
        <x:v>C6-6</x:v>
      </x:c>
      <x:c r="B40" s="22" t="str">
        <x:v>ภาคกลาง</x:v>
      </x:c>
      <x:c r="C40" s="52"/>
      <x:c r="D40" s="52"/>
      <x:c r="E40" s="52"/>
      <x:c r="F40" s="66"/>
      <x:c r="G40" s="53"/>
      <x:c r="H40" s="53"/>
      <x:c r="I40" s="53"/>
      <x:c r="J40" s="60" t="str">
        <x:f>IF(COUNTA(C40:E40,G40:I40)=0,"",C40*$Q$2+(D40+E40)*$Q$3+G40*$Q$2+(H40+I40)*$Q$3)</x:f>
      </x:c>
      <x:c r="K40" s="61"/>
      <x:c r="L40" s="62" t="str">
        <x:f>IF(J40="","",MAX(J40-IF(K40="",0,K40),0))</x:f>
      </x:c>
      <x:c r="M40" s="59" t="str">
        <x:f>IF(J40="","",IF(K40&gt;=J40,"จ่ายแล้ว",IF(K40&gt;0,"จ่ายบางส่วน","ยังไม่ได้จ่าย")))</x:f>
      </x:c>
      <x:c r="N40" s="22"/>
    </x:row>
    <x:row r="41" ht="21" customHeight="1">
      <x:c r="A41" s="22" t="str">
        <x:v>C7-1</x:v>
      </x:c>
      <x:c r="B41" s="22" t="str">
        <x:v>ภาคกลาง</x:v>
      </x:c>
      <x:c r="C41" s="52" t="n">
        <x:v>1</x:v>
      </x:c>
      <x:c r="D41" s="52" t="n">
        <x:v>2</x:v>
      </x:c>
      <x:c r="E41" s="52"/>
      <x:c r="F41" s="66"/>
      <x:c r="G41" s="53"/>
      <x:c r="H41" s="53"/>
      <x:c r="I41" s="53"/>
      <x:c r="J41" s="60" t="n">
        <x:f>IF(COUNTA(C41:E41,G41:I41)=0,"",C41*$Q$2+(D41+E41)*$Q$3+G41*$Q$2+(H41+I41)*$Q$3)</x:f>
        <x:v>220</x:v>
      </x:c>
      <x:c r="K41" s="61" t="n">
        <x:v>0</x:v>
      </x:c>
      <x:c r="L41" s="62" t="n">
        <x:f>IF(J41="","",MAX(J41-IF(K41="",0,K41),0))</x:f>
        <x:v>220</x:v>
      </x:c>
      <x:c r="M41" s="59" t="str">
        <x:f>IF(J41="","",IF(K41&gt;=J41,"จ่ายแล้ว",IF(K41&gt;0,"จ่ายบางส่วน","ยังไม่ได้จ่าย")))</x:f>
        <x:v>ยังไม่ได้จ่าย</x:v>
      </x:c>
      <x:c r="N41" s="22" t="str">
        <x:v>สด</x:v>
      </x:c>
    </x:row>
    <x:row r="42" ht="21" customHeight="1">
      <x:c r="A42" s="22" t="str">
        <x:v>C7-2</x:v>
      </x:c>
      <x:c r="B42" s="22" t="str">
        <x:v>ภาคกลาง</x:v>
      </x:c>
      <x:c r="C42" s="52"/>
      <x:c r="D42" s="52"/>
      <x:c r="E42" s="52"/>
      <x:c r="F42" s="66"/>
      <x:c r="G42" s="53"/>
      <x:c r="H42" s="53"/>
      <x:c r="I42" s="53"/>
      <x:c r="J42" s="60" t="str">
        <x:f>IF(COUNTA(C42:E42,G42:I42)=0,"",C42*$Q$2+(D42+E42)*$Q$3+G42*$Q$2+(H42+I42)*$Q$3)</x:f>
      </x:c>
      <x:c r="K42" s="61"/>
      <x:c r="L42" s="62" t="str">
        <x:f>IF(J42="","",MAX(J42-IF(K42="",0,K42),0))</x:f>
      </x:c>
      <x:c r="M42" s="59" t="str">
        <x:f>IF(J42="","",IF(K42&gt;=J42,"จ่ายแล้ว",IF(K42&gt;0,"จ่ายบางส่วน","ยังไม่ได้จ่าย")))</x:f>
      </x:c>
      <x:c r="N42" s="22"/>
    </x:row>
    <x:row r="43" ht="21" customHeight="1">
      <x:c r="A43" s="22" t="str">
        <x:v>C7-3</x:v>
      </x:c>
      <x:c r="B43" s="22" t="str">
        <x:v>ภาคกลาง</x:v>
      </x:c>
      <x:c r="C43" s="52" t="n">
        <x:v>1</x:v>
      </x:c>
      <x:c r="D43" s="52"/>
      <x:c r="E43" s="52"/>
      <x:c r="F43" s="66"/>
      <x:c r="G43" s="53"/>
      <x:c r="H43" s="53"/>
      <x:c r="I43" s="53"/>
      <x:c r="J43" s="60" t="n">
        <x:f>IF(COUNTA(C43:E43,G43:I43)=0,"",C43*$Q$2+(D43+E43)*$Q$3+G43*$Q$2+(H43+I43)*$Q$3)</x:f>
        <x:v>100</x:v>
      </x:c>
      <x:c r="K43" s="61" t="n">
        <x:v>0</x:v>
      </x:c>
      <x:c r="L43" s="62" t="n">
        <x:f>IF(J43="","",MAX(J43-IF(K43="",0,K43),0))</x:f>
        <x:v>100</x:v>
      </x:c>
      <x:c r="M43" s="59" t="str">
        <x:f>IF(J43="","",IF(K43&gt;=J43,"จ่ายแล้ว",IF(K43&gt;0,"จ่ายบางส่วน","ยังไม่ได้จ่าย")))</x:f>
        <x:v>ยังไม่ได้จ่าย</x:v>
      </x:c>
      <x:c r="N43" s="22" t="str">
        <x:v>สด</x:v>
      </x:c>
    </x:row>
    <x:row r="44" ht="21" customHeight="1">
      <x:c r="A44" s="22" t="str">
        <x:v>C7-4</x:v>
      </x:c>
      <x:c r="B44" s="22" t="str">
        <x:v>ภาคกลาง</x:v>
      </x:c>
      <x:c r="C44" s="52"/>
      <x:c r="D44" s="52"/>
      <x:c r="E44" s="52"/>
      <x:c r="F44" s="66"/>
      <x:c r="G44" s="53"/>
      <x:c r="H44" s="53"/>
      <x:c r="I44" s="53"/>
      <x:c r="J44" s="60" t="str">
        <x:f>IF(COUNTA(C44:E44,G44:I44)=0,"",C44*$Q$2+(D44+E44)*$Q$3+G44*$Q$2+(H44+I44)*$Q$3)</x:f>
      </x:c>
      <x:c r="K44" s="61"/>
      <x:c r="L44" s="62" t="str">
        <x:f>IF(J44="","",MAX(J44-IF(K44="",0,K44),0))</x:f>
      </x:c>
      <x:c r="M44" s="59" t="str">
        <x:f>IF(J44="","",IF(K44&gt;=J44,"จ่ายแล้ว",IF(K44&gt;0,"จ่ายบางส่วน","ยังไม่ได้จ่าย")))</x:f>
      </x:c>
      <x:c r="N44" s="22"/>
    </x:row>
    <x:row r="45" ht="21" customHeight="1">
      <x:c r="A45" s="22" t="str">
        <x:v>C7-5</x:v>
      </x:c>
      <x:c r="B45" s="22" t="str">
        <x:v>ภาคกลาง</x:v>
      </x:c>
      <x:c r="C45" s="52"/>
      <x:c r="D45" s="52"/>
      <x:c r="E45" s="52"/>
      <x:c r="F45" s="66"/>
      <x:c r="G45" s="53"/>
      <x:c r="H45" s="53"/>
      <x:c r="I45" s="53"/>
      <x:c r="J45" s="60" t="str">
        <x:f>IF(COUNTA(C45:E45,G45:I45)=0,"",C45*$Q$2+(D45+E45)*$Q$3+G45*$Q$2+(H45+I45)*$Q$3)</x:f>
      </x:c>
      <x:c r="K45" s="61"/>
      <x:c r="L45" s="62" t="str">
        <x:f>IF(J45="","",MAX(J45-IF(K45="",0,K45),0))</x:f>
      </x:c>
      <x:c r="M45" s="59" t="str">
        <x:f>IF(J45="","",IF(K45&gt;=J45,"จ่ายแล้ว",IF(K45&gt;0,"จ่ายบางส่วน","ยังไม่ได้จ่าย")))</x:f>
      </x:c>
      <x:c r="N45" s="22"/>
    </x:row>
    <x:row r="46" ht="21" customHeight="1">
      <x:c r="A46" s="22" t="str">
        <x:v>C7-6</x:v>
      </x:c>
      <x:c r="B46" s="22" t="str">
        <x:v>ภาคกลาง</x:v>
      </x:c>
      <x:c r="C46" s="52" t="n">
        <x:v>1</x:v>
      </x:c>
      <x:c r="D46" s="52"/>
      <x:c r="E46" s="52" t="n">
        <x:v>2</x:v>
      </x:c>
      <x:c r="F46" s="66"/>
      <x:c r="G46" s="53"/>
      <x:c r="H46" s="53"/>
      <x:c r="I46" s="53"/>
      <x:c r="J46" s="60" t="n">
        <x:f>IF(COUNTA(C46:E46,G46:I46)=0,"",C46*$Q$2+(D46+E46)*$Q$3+G46*$Q$2+(H46+I46)*$Q$3)</x:f>
        <x:v>220</x:v>
      </x:c>
      <x:c r="K46" s="61" t="n">
        <x:v>0</x:v>
      </x:c>
      <x:c r="L46" s="62" t="n">
        <x:f>IF(J46="","",MAX(J46-IF(K46="",0,K46),0))</x:f>
        <x:v>220</x:v>
      </x:c>
      <x:c r="M46" s="59" t="str">
        <x:f>IF(J46="","",IF(K46&gt;=J46,"จ่ายแล้ว",IF(K46&gt;0,"จ่ายบางส่วน","ยังไม่ได้จ่าย")))</x:f>
        <x:v>ยังไม่ได้จ่าย</x:v>
      </x:c>
      <x:c r="N46" s="22" t="str">
        <x:v>สด</x:v>
      </x:c>
    </x:row>
    <x:row r="47" ht="21" customHeight="1">
      <x:c r="A47" s="22" t="str">
        <x:v>C8-1</x:v>
      </x:c>
      <x:c r="B47" s="22" t="str">
        <x:v>ภาคกลาง</x:v>
      </x:c>
      <x:c r="C47" s="52"/>
      <x:c r="D47" s="52"/>
      <x:c r="E47" s="52"/>
      <x:c r="F47" s="66"/>
      <x:c r="G47" s="53"/>
      <x:c r="H47" s="53"/>
      <x:c r="I47" s="53"/>
      <x:c r="J47" s="60" t="str">
        <x:f>IF(COUNTA(C47:E47,G47:I47)=0,"",C47*$Q$2+(D47+E47)*$Q$3+G47*$Q$2+(H47+I47)*$Q$3)</x:f>
      </x:c>
      <x:c r="K47" s="61"/>
      <x:c r="L47" s="62" t="str">
        <x:f>IF(J47="","",MAX(J47-IF(K47="",0,K47),0))</x:f>
      </x:c>
      <x:c r="M47" s="59" t="str">
        <x:f>IF(J47="","",IF(K47&gt;=J47,"จ่ายแล้ว",IF(K47&gt;0,"จ่ายบางส่วน","ยังไม่ได้จ่าย")))</x:f>
      </x:c>
      <x:c r="N47" s="22"/>
    </x:row>
    <x:row r="48" ht="21" customHeight="1">
      <x:c r="A48" s="22" t="str">
        <x:v>C8-2</x:v>
      </x:c>
      <x:c r="B48" s="22" t="str">
        <x:v>ภาคกลาง</x:v>
      </x:c>
      <x:c r="C48" s="52"/>
      <x:c r="D48" s="52"/>
      <x:c r="E48" s="52"/>
      <x:c r="F48" s="66"/>
      <x:c r="G48" s="53"/>
      <x:c r="H48" s="53"/>
      <x:c r="I48" s="53"/>
      <x:c r="J48" s="60" t="str">
        <x:f>IF(COUNTA(C48:E48,G48:I48)=0,"",C48*$Q$2+(D48+E48)*$Q$3+G48*$Q$2+(H48+I48)*$Q$3)</x:f>
      </x:c>
      <x:c r="K48" s="61"/>
      <x:c r="L48" s="62" t="str">
        <x:f>IF(J48="","",MAX(J48-IF(K48="",0,K48),0))</x:f>
      </x:c>
      <x:c r="M48" s="59" t="str">
        <x:f>IF(J48="","",IF(K48&gt;=J48,"จ่ายแล้ว",IF(K48&gt;0,"จ่ายบางส่วน","ยังไม่ได้จ่าย")))</x:f>
      </x:c>
      <x:c r="N48" s="22"/>
    </x:row>
    <x:row r="49" ht="21" customHeight="1">
      <x:c r="A49" s="22" t="str">
        <x:v>C8-3</x:v>
      </x:c>
      <x:c r="B49" s="22" t="str">
        <x:v>ภาคกลาง</x:v>
      </x:c>
      <x:c r="C49" s="52"/>
      <x:c r="D49" s="52"/>
      <x:c r="E49" s="52"/>
      <x:c r="F49" s="66"/>
      <x:c r="G49" s="53"/>
      <x:c r="H49" s="53"/>
      <x:c r="I49" s="53"/>
      <x:c r="J49" s="60" t="str">
        <x:f>IF(COUNTA(C49:E49,G49:I49)=0,"",C49*$Q$2+(D49+E49)*$Q$3+G49*$Q$2+(H49+I49)*$Q$3)</x:f>
      </x:c>
      <x:c r="K49" s="61"/>
      <x:c r="L49" s="62" t="str">
        <x:f>IF(J49="","",MAX(J49-IF(K49="",0,K49),0))</x:f>
      </x:c>
      <x:c r="M49" s="59" t="str">
        <x:f>IF(J49="","",IF(K49&gt;=J49,"จ่ายแล้ว",IF(K49&gt;0,"จ่ายบางส่วน","ยังไม่ได้จ่าย")))</x:f>
      </x:c>
      <x:c r="N49" s="22"/>
    </x:row>
    <x:row r="50" ht="21" customHeight="1">
      <x:c r="A50" s="22" t="str">
        <x:v>C8-4</x:v>
      </x:c>
      <x:c r="B50" s="22" t="str">
        <x:v>ภาคกลาง</x:v>
      </x:c>
      <x:c r="C50" s="52"/>
      <x:c r="D50" s="52"/>
      <x:c r="E50" s="52"/>
      <x:c r="F50" s="66"/>
      <x:c r="G50" s="53"/>
      <x:c r="H50" s="53"/>
      <x:c r="I50" s="53"/>
      <x:c r="J50" s="60" t="str">
        <x:f>IF(COUNTA(C50:E50,G50:I50)=0,"",C50*$Q$2+(D50+E50)*$Q$3+G50*$Q$2+(H50+I50)*$Q$3)</x:f>
      </x:c>
      <x:c r="K50" s="61"/>
      <x:c r="L50" s="62" t="str">
        <x:f>IF(J50="","",MAX(J50-IF(K50="",0,K50),0))</x:f>
      </x:c>
      <x:c r="M50" s="59" t="str">
        <x:f>IF(J50="","",IF(K50&gt;=J50,"จ่ายแล้ว",IF(K50&gt;0,"จ่ายบางส่วน","ยังไม่ได้จ่าย")))</x:f>
      </x:c>
      <x:c r="N50" s="22"/>
    </x:row>
    <x:row r="51" ht="21" customHeight="1">
      <x:c r="A51" s="22" t="str">
        <x:v>C8-5</x:v>
      </x:c>
      <x:c r="B51" s="22" t="str">
        <x:v>ภาคกลาง</x:v>
      </x:c>
      <x:c r="C51" s="52"/>
      <x:c r="D51" s="52"/>
      <x:c r="E51" s="52"/>
      <x:c r="F51" s="66"/>
      <x:c r="G51" s="53"/>
      <x:c r="H51" s="53"/>
      <x:c r="I51" s="53"/>
      <x:c r="J51" s="60" t="str">
        <x:f>IF(COUNTA(C51:E51,G51:I51)=0,"",C51*$Q$2+(D51+E51)*$Q$3+G51*$Q$2+(H51+I51)*$Q$3)</x:f>
      </x:c>
      <x:c r="K51" s="61"/>
      <x:c r="L51" s="62" t="str">
        <x:f>IF(J51="","",MAX(J51-IF(K51="",0,K51),0))</x:f>
      </x:c>
      <x:c r="M51" s="59" t="str">
        <x:f>IF(J51="","",IF(K51&gt;=J51,"จ่ายแล้ว",IF(K51&gt;0,"จ่ายบางส่วน","ยังไม่ได้จ่าย")))</x:f>
      </x:c>
      <x:c r="N51" s="22"/>
    </x:row>
    <x:row r="52" ht="21" customHeight="1">
      <x:c r="A52" s="22" t="str">
        <x:v>C8-6</x:v>
      </x:c>
      <x:c r="B52" s="22" t="str">
        <x:v>ภาคกลาง</x:v>
      </x:c>
      <x:c r="C52" s="52"/>
      <x:c r="D52" s="52"/>
      <x:c r="E52" s="52"/>
      <x:c r="F52" s="66"/>
      <x:c r="G52" s="53"/>
      <x:c r="H52" s="53"/>
      <x:c r="I52" s="53"/>
      <x:c r="J52" s="60" t="str">
        <x:f>IF(COUNTA(C52:E52,G52:I52)=0,"",C52*$Q$2+(D52+E52)*$Q$3+G52*$Q$2+(H52+I52)*$Q$3)</x:f>
      </x:c>
      <x:c r="K52" s="61"/>
      <x:c r="L52" s="62" t="str">
        <x:f>IF(J52="","",MAX(J52-IF(K52="",0,K52),0))</x:f>
      </x:c>
      <x:c r="M52" s="59" t="str">
        <x:f>IF(J52="","",IF(K52&gt;=J52,"จ่ายแล้ว",IF(K52&gt;0,"จ่ายบางส่วน","ยังไม่ได้จ่าย")))</x:f>
      </x:c>
      <x:c r="N52" s="22"/>
    </x:row>
    <x:row r="53" ht="21" customHeight="1">
      <x:c r="A53" s="22" t="str">
        <x:v>C9-1</x:v>
      </x:c>
      <x:c r="B53" s="22" t="str">
        <x:v>ภาคกลาง</x:v>
      </x:c>
      <x:c r="C53" s="52" t="n">
        <x:v>1</x:v>
      </x:c>
      <x:c r="D53" s="52"/>
      <x:c r="E53" s="52" t="n">
        <x:v>1</x:v>
      </x:c>
      <x:c r="F53" s="66"/>
      <x:c r="G53" s="53"/>
      <x:c r="H53" s="53"/>
      <x:c r="I53" s="53"/>
      <x:c r="J53" s="60" t="n">
        <x:f>IF(COUNTA(C53:E53,G53:I53)=0,"",C53*$Q$2+(D53+E53)*$Q$3+G53*$Q$2+(H53+I53)*$Q$3)</x:f>
        <x:v>160</x:v>
      </x:c>
      <x:c r="K53" s="61" t="n">
        <x:v>0</x:v>
      </x:c>
      <x:c r="L53" s="62" t="n">
        <x:f>IF(J53="","",MAX(J53-IF(K53="",0,K53),0))</x:f>
        <x:v>160</x:v>
      </x:c>
      <x:c r="M53" s="59" t="str">
        <x:f>IF(J53="","",IF(K53&gt;=J53,"จ่ายแล้ว",IF(K53&gt;0,"จ่ายบางส่วน","ยังไม่ได้จ่าย")))</x:f>
        <x:v>ยังไม่ได้จ่าย</x:v>
      </x:c>
      <x:c r="N53" s="22"/>
    </x:row>
    <x:row r="54" ht="21" customHeight="1">
      <x:c r="A54" s="22" t="str">
        <x:v>C9-2</x:v>
      </x:c>
      <x:c r="B54" s="22" t="str">
        <x:v>ภาคกลาง</x:v>
      </x:c>
      <x:c r="C54" s="52"/>
      <x:c r="D54" s="52"/>
      <x:c r="E54" s="52"/>
      <x:c r="F54" s="66"/>
      <x:c r="G54" s="53"/>
      <x:c r="H54" s="53"/>
      <x:c r="I54" s="53"/>
      <x:c r="J54" s="60" t="str">
        <x:f>IF(COUNTA(C54:E54,G54:I54)=0,"",C54*$Q$2+(D54+E54)*$Q$3+G54*$Q$2+(H54+I54)*$Q$3)</x:f>
      </x:c>
      <x:c r="K54" s="61"/>
      <x:c r="L54" s="62" t="str">
        <x:f>IF(J54="","",MAX(J54-IF(K54="",0,K54),0))</x:f>
      </x:c>
      <x:c r="M54" s="59" t="str">
        <x:f>IF(J54="","",IF(K54&gt;=J54,"จ่ายแล้ว",IF(K54&gt;0,"จ่ายบางส่วน","ยังไม่ได้จ่าย")))</x:f>
      </x:c>
      <x:c r="N54" s="22"/>
    </x:row>
    <x:row r="55" ht="21" customHeight="1">
      <x:c r="A55" s="22" t="str">
        <x:v>C9-3</x:v>
      </x:c>
      <x:c r="B55" s="22" t="str">
        <x:v>ภาคกลาง</x:v>
      </x:c>
      <x:c r="C55" s="52"/>
      <x:c r="D55" s="52"/>
      <x:c r="E55" s="52"/>
      <x:c r="F55" s="66"/>
      <x:c r="G55" s="53"/>
      <x:c r="H55" s="53"/>
      <x:c r="I55" s="53"/>
      <x:c r="J55" s="60" t="str">
        <x:f>IF(COUNTA(C55:E55,G55:I55)=0,"",C55*$Q$2+(D55+E55)*$Q$3+G55*$Q$2+(H55+I55)*$Q$3)</x:f>
      </x:c>
      <x:c r="K55" s="61"/>
      <x:c r="L55" s="62" t="str">
        <x:f>IF(J55="","",MAX(J55-IF(K55="",0,K55),0))</x:f>
      </x:c>
      <x:c r="M55" s="59" t="str">
        <x:f>IF(J55="","",IF(K55&gt;=J55,"จ่ายแล้ว",IF(K55&gt;0,"จ่ายบางส่วน","ยังไม่ได้จ่าย")))</x:f>
      </x:c>
      <x:c r="N55" s="22"/>
    </x:row>
    <x:row r="56" ht="21" customHeight="1">
      <x:c r="A56" s="22" t="str">
        <x:v>C9-4</x:v>
      </x:c>
      <x:c r="B56" s="22" t="str">
        <x:v>ภาคกลาง</x:v>
      </x:c>
      <x:c r="C56" s="52"/>
      <x:c r="D56" s="52"/>
      <x:c r="E56" s="52"/>
      <x:c r="F56" s="66"/>
      <x:c r="G56" s="53"/>
      <x:c r="H56" s="53"/>
      <x:c r="I56" s="53"/>
      <x:c r="J56" s="60" t="str">
        <x:f>IF(COUNTA(C56:E56,G56:I56)=0,"",C56*$Q$2+(D56+E56)*$Q$3+G56*$Q$2+(H56+I56)*$Q$3)</x:f>
      </x:c>
      <x:c r="K56" s="61"/>
      <x:c r="L56" s="62" t="str">
        <x:f>IF(J56="","",MAX(J56-IF(K56="",0,K56),0))</x:f>
      </x:c>
      <x:c r="M56" s="59" t="str">
        <x:f>IF(J56="","",IF(K56&gt;=J56,"จ่ายแล้ว",IF(K56&gt;0,"จ่ายบางส่วน","ยังไม่ได้จ่าย")))</x:f>
      </x:c>
      <x:c r="N56" s="22"/>
    </x:row>
    <x:row r="57" ht="21" customHeight="1">
      <x:c r="A57" s="22" t="str">
        <x:v>C9-5</x:v>
      </x:c>
      <x:c r="B57" s="22" t="str">
        <x:v>ภาคกลาง</x:v>
      </x:c>
      <x:c r="C57" s="52"/>
      <x:c r="D57" s="52"/>
      <x:c r="E57" s="52"/>
      <x:c r="F57" s="66"/>
      <x:c r="G57" s="53"/>
      <x:c r="H57" s="53"/>
      <x:c r="I57" s="53"/>
      <x:c r="J57" s="60" t="str">
        <x:f>IF(COUNTA(C57:E57,G57:I57)=0,"",C57*$Q$2+(D57+E57)*$Q$3+G57*$Q$2+(H57+I57)*$Q$3)</x:f>
      </x:c>
      <x:c r="K57" s="61"/>
      <x:c r="L57" s="62" t="str">
        <x:f>IF(J57="","",MAX(J57-IF(K57="",0,K57),0))</x:f>
      </x:c>
      <x:c r="M57" s="59" t="str">
        <x:f>IF(J57="","",IF(K57&gt;=J57,"จ่ายแล้ว",IF(K57&gt;0,"จ่ายบางส่วน","ยังไม่ได้จ่าย")))</x:f>
      </x:c>
      <x:c r="N57" s="22"/>
    </x:row>
    <x:row r="58" ht="21" customHeight="1">
      <x:c r="A58" s="22" t="str">
        <x:v>C9-6</x:v>
      </x:c>
      <x:c r="B58" s="22" t="str">
        <x:v>ภาคกลาง</x:v>
      </x:c>
      <x:c r="C58" s="52"/>
      <x:c r="D58" s="52"/>
      <x:c r="E58" s="52"/>
      <x:c r="F58" s="66"/>
      <x:c r="G58" s="53"/>
      <x:c r="H58" s="53"/>
      <x:c r="I58" s="53"/>
      <x:c r="J58" s="60" t="str">
        <x:f>IF(COUNTA(C58:E58,G58:I58)=0,"",C58*$Q$2+(D58+E58)*$Q$3+G58*$Q$2+(H58+I58)*$Q$3)</x:f>
      </x:c>
      <x:c r="K58" s="61"/>
      <x:c r="L58" s="62" t="str">
        <x:f>IF(J58="","",MAX(J58-IF(K58="",0,K58),0))</x:f>
      </x:c>
      <x:c r="M58" s="59" t="str">
        <x:f>IF(J58="","",IF(K58&gt;=J58,"จ่ายแล้ว",IF(K58&gt;0,"จ่ายบางส่วน","ยังไม่ได้จ่าย")))</x:f>
      </x:c>
      <x:c r="N58" s="22"/>
    </x:row>
    <x:row r="59" ht="21" customHeight="1">
      <x:c r="A59" s="22" t="str">
        <x:v>C10-1</x:v>
      </x:c>
      <x:c r="B59" s="22" t="str">
        <x:v>ภาคกลาง</x:v>
      </x:c>
      <x:c r="C59" s="52"/>
      <x:c r="D59" s="52"/>
      <x:c r="E59" s="52"/>
      <x:c r="F59" s="66"/>
      <x:c r="G59" s="53"/>
      <x:c r="H59" s="53"/>
      <x:c r="I59" s="53"/>
      <x:c r="J59" s="60" t="str">
        <x:f>IF(COUNTA(C59:E59,G59:I59)=0,"",C59*$Q$2+(D59+E59)*$Q$3+G59*$Q$2+(H59+I59)*$Q$3)</x:f>
      </x:c>
      <x:c r="K59" s="61"/>
      <x:c r="L59" s="62" t="str">
        <x:f>IF(J59="","",MAX(J59-IF(K59="",0,K59),0))</x:f>
      </x:c>
      <x:c r="M59" s="59" t="str">
        <x:f>IF(J59="","",IF(K59&gt;=J59,"จ่ายแล้ว",IF(K59&gt;0,"จ่ายบางส่วน","ยังไม่ได้จ่าย")))</x:f>
      </x:c>
      <x:c r="N59" s="22"/>
    </x:row>
    <x:row r="60" ht="21" customHeight="1">
      <x:c r="A60" s="22" t="str">
        <x:v>C10-2</x:v>
      </x:c>
      <x:c r="B60" s="22" t="str">
        <x:v>ภาคกลาง</x:v>
      </x:c>
      <x:c r="C60" s="52"/>
      <x:c r="D60" s="52"/>
      <x:c r="E60" s="52"/>
      <x:c r="F60" s="66"/>
      <x:c r="G60" s="53"/>
      <x:c r="H60" s="53"/>
      <x:c r="I60" s="53"/>
      <x:c r="J60" s="60" t="str">
        <x:f>IF(COUNTA(C60:E60,G60:I60)=0,"",C60*$Q$2+(D60+E60)*$Q$3+G60*$Q$2+(H60+I60)*$Q$3)</x:f>
      </x:c>
      <x:c r="K60" s="61"/>
      <x:c r="L60" s="62" t="str">
        <x:f>IF(J60="","",MAX(J60-IF(K60="",0,K60),0))</x:f>
      </x:c>
      <x:c r="M60" s="59" t="str">
        <x:f>IF(J60="","",IF(K60&gt;=J60,"จ่ายแล้ว",IF(K60&gt;0,"จ่ายบางส่วน","ยังไม่ได้จ่าย")))</x:f>
      </x:c>
      <x:c r="N60" s="22"/>
    </x:row>
    <x:row r="61" ht="21" customHeight="1">
      <x:c r="A61" s="22" t="str">
        <x:v>C10-3</x:v>
      </x:c>
      <x:c r="B61" s="22" t="str">
        <x:v>ภาคกลาง</x:v>
      </x:c>
      <x:c r="C61" s="52"/>
      <x:c r="D61" s="52"/>
      <x:c r="E61" s="52"/>
      <x:c r="F61" s="66"/>
      <x:c r="G61" s="53"/>
      <x:c r="H61" s="53"/>
      <x:c r="I61" s="53"/>
      <x:c r="J61" s="60" t="str">
        <x:f>IF(COUNTA(C61:E61,G61:I61)=0,"",C61*$Q$2+(D61+E61)*$Q$3+G61*$Q$2+(H61+I61)*$Q$3)</x:f>
      </x:c>
      <x:c r="K61" s="61"/>
      <x:c r="L61" s="62" t="str">
        <x:f>IF(J61="","",MAX(J61-IF(K61="",0,K61),0))</x:f>
      </x:c>
      <x:c r="M61" s="59" t="str">
        <x:f>IF(J61="","",IF(K61&gt;=J61,"จ่ายแล้ว",IF(K61&gt;0,"จ่ายบางส่วน","ยังไม่ได้จ่าย")))</x:f>
      </x:c>
      <x:c r="N61" s="22"/>
    </x:row>
    <x:row r="62" ht="21" customHeight="1">
      <x:c r="A62" s="22" t="str">
        <x:v>C10-4</x:v>
      </x:c>
      <x:c r="B62" s="22" t="str">
        <x:v>ภาคกลาง</x:v>
      </x:c>
      <x:c r="C62" s="52"/>
      <x:c r="D62" s="52"/>
      <x:c r="E62" s="52"/>
      <x:c r="F62" s="66"/>
      <x:c r="G62" s="53"/>
      <x:c r="H62" s="53"/>
      <x:c r="I62" s="53"/>
      <x:c r="J62" s="60" t="str">
        <x:f>IF(COUNTA(C62:E62,G62:I62)=0,"",C62*$Q$2+(D62+E62)*$Q$3+G62*$Q$2+(H62+I62)*$Q$3)</x:f>
      </x:c>
      <x:c r="K62" s="61"/>
      <x:c r="L62" s="62" t="str">
        <x:f>IF(J62="","",MAX(J62-IF(K62="",0,K62),0))</x:f>
      </x:c>
      <x:c r="M62" s="59" t="str">
        <x:f>IF(J62="","",IF(K62&gt;=J62,"จ่ายแล้ว",IF(K62&gt;0,"จ่ายบางส่วน","ยังไม่ได้จ่าย")))</x:f>
      </x:c>
      <x:c r="N62" s="22"/>
    </x:row>
    <x:row r="63" ht="21" customHeight="1">
      <x:c r="A63" s="22" t="str">
        <x:v>C10-5</x:v>
      </x:c>
      <x:c r="B63" s="22" t="str">
        <x:v>ภาคกลาง</x:v>
      </x:c>
      <x:c r="C63" s="52"/>
      <x:c r="D63" s="52"/>
      <x:c r="E63" s="52"/>
      <x:c r="F63" s="66"/>
      <x:c r="G63" s="53"/>
      <x:c r="H63" s="53"/>
      <x:c r="I63" s="53"/>
      <x:c r="J63" s="60" t="str">
        <x:f>IF(COUNTA(C63:E63,G63:I63)=0,"",C63*$Q$2+(D63+E63)*$Q$3+G63*$Q$2+(H63+I63)*$Q$3)</x:f>
      </x:c>
      <x:c r="K63" s="61"/>
      <x:c r="L63" s="62" t="str">
        <x:f>IF(J63="","",MAX(J63-IF(K63="",0,K63),0))</x:f>
      </x:c>
      <x:c r="M63" s="59" t="str">
        <x:f>IF(J63="","",IF(K63&gt;=J63,"จ่ายแล้ว",IF(K63&gt;0,"จ่ายบางส่วน","ยังไม่ได้จ่าย")))</x:f>
      </x:c>
      <x:c r="N63" s="22"/>
    </x:row>
    <x:row r="64" ht="21" customHeight="1">
      <x:c r="A64" s="22" t="str">
        <x:v>C10-6</x:v>
      </x:c>
      <x:c r="B64" s="22" t="str">
        <x:v>ภาคกลาง</x:v>
      </x:c>
      <x:c r="C64" s="52"/>
      <x:c r="D64" s="52"/>
      <x:c r="E64" s="52"/>
      <x:c r="F64" s="66"/>
      <x:c r="G64" s="53"/>
      <x:c r="H64" s="53"/>
      <x:c r="I64" s="53"/>
      <x:c r="J64" s="60" t="str">
        <x:f>IF(COUNTA(C64:E64,G64:I64)=0,"",C64*$Q$2+(D64+E64)*$Q$3+G64*$Q$2+(H64+I64)*$Q$3)</x:f>
      </x:c>
      <x:c r="K64" s="61"/>
      <x:c r="L64" s="62" t="str">
        <x:f>IF(J64="","",MAX(J64-IF(K64="",0,K64),0))</x:f>
      </x:c>
      <x:c r="M64" s="59" t="str">
        <x:f>IF(J64="","",IF(K64&gt;=J64,"จ่ายแล้ว",IF(K64&gt;0,"จ่ายบางส่วน","ยังไม่ได้จ่าย")))</x:f>
      </x:c>
      <x:c r="N64" s="22"/>
    </x:row>
    <x:row r="65" ht="21" customHeight="1">
      <x:c r="A65" s="22" t="str">
        <x:v>C11-1</x:v>
      </x:c>
      <x:c r="B65" s="22" t="str">
        <x:v>ภาคกลาง</x:v>
      </x:c>
      <x:c r="C65" s="52"/>
      <x:c r="D65" s="52"/>
      <x:c r="E65" s="52"/>
      <x:c r="F65" s="66"/>
      <x:c r="G65" s="53"/>
      <x:c r="H65" s="53"/>
      <x:c r="I65" s="53"/>
      <x:c r="J65" s="60" t="str">
        <x:f>IF(COUNTA(C65:E65,G65:I65)=0,"",C65*$Q$2+(D65+E65)*$Q$3+G65*$Q$2+(H65+I65)*$Q$3)</x:f>
      </x:c>
      <x:c r="K65" s="61"/>
      <x:c r="L65" s="62" t="str">
        <x:f>IF(J65="","",MAX(J65-IF(K65="",0,K65),0))</x:f>
      </x:c>
      <x:c r="M65" s="59" t="str">
        <x:f>IF(J65="","",IF(K65&gt;=J65,"จ่ายแล้ว",IF(K65&gt;0,"จ่ายบางส่วน","ยังไม่ได้จ่าย")))</x:f>
      </x:c>
      <x:c r="N65" s="22"/>
    </x:row>
    <x:row r="66" ht="21" customHeight="1">
      <x:c r="A66" s="22" t="str">
        <x:v>C11-2</x:v>
      </x:c>
      <x:c r="B66" s="22" t="str">
        <x:v>ภาคกลาง</x:v>
      </x:c>
      <x:c r="C66" s="52"/>
      <x:c r="D66" s="52"/>
      <x:c r="E66" s="52"/>
      <x:c r="F66" s="66"/>
      <x:c r="G66" s="53"/>
      <x:c r="H66" s="53"/>
      <x:c r="I66" s="53"/>
      <x:c r="J66" s="60" t="str">
        <x:f>IF(COUNTA(C66:E66,G66:I66)=0,"",C66*$Q$2+(D66+E66)*$Q$3+G66*$Q$2+(H66+I66)*$Q$3)</x:f>
      </x:c>
      <x:c r="K66" s="61"/>
      <x:c r="L66" s="62" t="str">
        <x:f>IF(J66="","",MAX(J66-IF(K66="",0,K66),0))</x:f>
      </x:c>
      <x:c r="M66" s="59" t="str">
        <x:f>IF(J66="","",IF(K66&gt;=J66,"จ่ายแล้ว",IF(K66&gt;0,"จ่ายบางส่วน","ยังไม่ได้จ่าย")))</x:f>
      </x:c>
      <x:c r="N66" s="22"/>
    </x:row>
    <x:row r="67" ht="21" customHeight="1">
      <x:c r="A67" s="22" t="str">
        <x:v>C11-3</x:v>
      </x:c>
      <x:c r="B67" s="22" t="str">
        <x:v>ภาคกลาง</x:v>
      </x:c>
      <x:c r="C67" s="52" t="n">
        <x:v>2</x:v>
      </x:c>
      <x:c r="D67" s="52"/>
      <x:c r="E67" s="52" t="n">
        <x:v>1</x:v>
      </x:c>
      <x:c r="F67" s="66"/>
      <x:c r="G67" s="53"/>
      <x:c r="H67" s="53"/>
      <x:c r="I67" s="53"/>
      <x:c r="J67" s="60" t="n">
        <x:f>IF(COUNTA(C67:E67,G67:I67)=0,"",C67*$Q$2+(D67+E67)*$Q$3+G67*$Q$2+(H67+I67)*$Q$3)</x:f>
        <x:v>260</x:v>
      </x:c>
      <x:c r="K67" s="61" t="n">
        <x:v>0</x:v>
      </x:c>
      <x:c r="L67" s="62" t="n">
        <x:f>IF(J67="","",MAX(J67-IF(K67="",0,K67),0))</x:f>
        <x:v>260</x:v>
      </x:c>
      <x:c r="M67" s="59" t="str">
        <x:f>IF(J67="","",IF(K67&gt;=J67,"จ่ายแล้ว",IF(K67&gt;0,"จ่ายบางส่วน","ยังไม่ได้จ่าย")))</x:f>
        <x:v>ยังไม่ได้จ่าย</x:v>
      </x:c>
      <x:c r="N67" s="22" t="str">
        <x:v>สด</x:v>
      </x:c>
    </x:row>
    <x:row r="68" ht="21" customHeight="1">
      <x:c r="A68" s="22" t="str">
        <x:v>C11-4</x:v>
      </x:c>
      <x:c r="B68" s="22" t="str">
        <x:v>ภาคกลาง</x:v>
      </x:c>
      <x:c r="C68" s="52"/>
      <x:c r="D68" s="52"/>
      <x:c r="E68" s="52"/>
      <x:c r="F68" s="66"/>
      <x:c r="G68" s="53"/>
      <x:c r="H68" s="53"/>
      <x:c r="I68" s="53"/>
      <x:c r="J68" s="60" t="str">
        <x:f>IF(COUNTA(C68:E68,G68:I68)=0,"",C68*$Q$2+(D68+E68)*$Q$3+G68*$Q$2+(H68+I68)*$Q$3)</x:f>
      </x:c>
      <x:c r="K68" s="61"/>
      <x:c r="L68" s="62" t="str">
        <x:f>IF(J68="","",MAX(J68-IF(K68="",0,K68),0))</x:f>
      </x:c>
      <x:c r="M68" s="59" t="str">
        <x:f>IF(J68="","",IF(K68&gt;=J68,"จ่ายแล้ว",IF(K68&gt;0,"จ่ายบางส่วน","ยังไม่ได้จ่าย")))</x:f>
      </x:c>
      <x:c r="N68" s="22"/>
    </x:row>
    <x:row r="69" ht="21" customHeight="1">
      <x:c r="A69" s="22" t="str">
        <x:v>C11-5</x:v>
      </x:c>
      <x:c r="B69" s="22" t="str">
        <x:v>ภาคกลาง</x:v>
      </x:c>
      <x:c r="C69" s="52" t="n">
        <x:v>1</x:v>
      </x:c>
      <x:c r="D69" s="52" t="n">
        <x:v>2</x:v>
      </x:c>
      <x:c r="E69" s="52" t="n">
        <x:v>1</x:v>
      </x:c>
      <x:c r="F69" s="66"/>
      <x:c r="G69" s="53"/>
      <x:c r="H69" s="53"/>
      <x:c r="I69" s="53"/>
      <x:c r="J69" s="60" t="n">
        <x:f>IF(COUNTA(C69:E69,G69:I69)=0,"",C69*$Q$2+(D69+E69)*$Q$3+G69*$Q$2+(H69+I69)*$Q$3)</x:f>
        <x:v>280</x:v>
      </x:c>
      <x:c r="K69" s="61" t="n">
        <x:v>0</x:v>
      </x:c>
      <x:c r="L69" s="62" t="n">
        <x:f>IF(J69="","",MAX(J69-IF(K69="",0,K69),0))</x:f>
        <x:v>280</x:v>
      </x:c>
      <x:c r="M69" s="59" t="str">
        <x:f>IF(J69="","",IF(K69&gt;=J69,"จ่ายแล้ว",IF(K69&gt;0,"จ่ายบางส่วน","ยังไม่ได้จ่าย")))</x:f>
        <x:v>ยังไม่ได้จ่าย</x:v>
      </x:c>
      <x:c r="N69" s="22" t="str">
        <x:v>สด</x:v>
      </x:c>
    </x:row>
    <x:row r="70" ht="21" customHeight="1">
      <x:c r="A70" s="22" t="str">
        <x:v>C11-6</x:v>
      </x:c>
      <x:c r="B70" s="22" t="str">
        <x:v>ภาคกลาง</x:v>
      </x:c>
      <x:c r="C70" s="52"/>
      <x:c r="D70" s="52"/>
      <x:c r="E70" s="52"/>
      <x:c r="F70" s="66"/>
      <x:c r="G70" s="53"/>
      <x:c r="H70" s="53"/>
      <x:c r="I70" s="53"/>
      <x:c r="J70" s="60" t="str">
        <x:f>IF(COUNTA(C70:E70,G70:I70)=0,"",C70*$Q$2+(D70+E70)*$Q$3+G70*$Q$2+(H70+I70)*$Q$3)</x:f>
      </x:c>
      <x:c r="K70" s="61"/>
      <x:c r="L70" s="62" t="str">
        <x:f>IF(J70="","",MAX(J70-IF(K70="",0,K70),0))</x:f>
      </x:c>
      <x:c r="M70" s="59" t="str">
        <x:f>IF(J70="","",IF(K70&gt;=J70,"จ่ายแล้ว",IF(K70&gt;0,"จ่ายบางส่วน","ยังไม่ได้จ่าย")))</x:f>
      </x:c>
      <x:c r="N70" s="22"/>
    </x:row>
    <x:row r="71" ht="21" customHeight="1">
      <x:c r="A71" s="22" t="str">
        <x:v>C12-1</x:v>
      </x:c>
      <x:c r="B71" s="22" t="str">
        <x:v>ภาคกลาง</x:v>
      </x:c>
      <x:c r="C71" s="52"/>
      <x:c r="D71" s="52"/>
      <x:c r="E71" s="52"/>
      <x:c r="F71" s="66"/>
      <x:c r="G71" s="53"/>
      <x:c r="H71" s="53"/>
      <x:c r="I71" s="53"/>
      <x:c r="J71" s="60" t="str">
        <x:f>IF(COUNTA(C71:E71,G71:I71)=0,"",C71*$Q$2+(D71+E71)*$Q$3+G71*$Q$2+(H71+I71)*$Q$3)</x:f>
      </x:c>
      <x:c r="K71" s="61"/>
      <x:c r="L71" s="62" t="str">
        <x:f>IF(J71="","",MAX(J71-IF(K71="",0,K71),0))</x:f>
      </x:c>
      <x:c r="M71" s="59" t="str">
        <x:f>IF(J71="","",IF(K71&gt;=J71,"จ่ายแล้ว",IF(K71&gt;0,"จ่ายบางส่วน","ยังไม่ได้จ่าย")))</x:f>
      </x:c>
      <x:c r="N71" s="22"/>
    </x:row>
    <x:row r="72" ht="21" customHeight="1">
      <x:c r="A72" s="72" t="str">
        <x:v>C12-2</x:v>
      </x:c>
      <x:c r="B72" s="72" t="str">
        <x:v>ภาคกลาง</x:v>
      </x:c>
      <x:c r="C72" s="74" t="n">
        <x:v>2</x:v>
      </x:c>
      <x:c r="D72" s="74" t="n">
        <x:v>1</x:v>
      </x:c>
      <x:c r="E72" s="74"/>
      <x:c r="F72" s="66"/>
      <x:c r="G72" s="74"/>
      <x:c r="H72" s="74"/>
      <x:c r="I72" s="74"/>
      <x:c r="J72" s="75" t="n">
        <x:f>IF(COUNTA(C72:E72,G72:I72)=0,"",C72*$Q$2+(D72+E72)*$Q$3+G72*$Q$2+(H72+I72)*$Q$3)</x:f>
        <x:v>260</x:v>
      </x:c>
      <x:c r="K72" s="75" t="n">
        <x:v>0</x:v>
      </x:c>
      <x:c r="L72" s="75" t="n">
        <x:f>IF(J72="","",MAX(J72-IF(K72="",0,K72),0))</x:f>
        <x:v>260</x:v>
      </x:c>
      <x:c r="M72" s="74" t="str">
        <x:f>IF(J72="","",IF(K72&gt;=J72,"จ่ายแล้ว",IF(K72&gt;0,"จ่ายบางส่วน","ยังไม่ได้จ่าย")))</x:f>
        <x:v>ยังไม่ได้จ่าย</x:v>
      </x:c>
      <x:c r="N72" s="72"/>
    </x:row>
    <x:row r="73" ht="21" customHeight="1">
      <x:c r="A73" s="22" t="str">
        <x:v>C12-3</x:v>
      </x:c>
      <x:c r="B73" s="22" t="str">
        <x:v>ภาคกลาง</x:v>
      </x:c>
      <x:c r="C73" s="52"/>
      <x:c r="D73" s="52"/>
      <x:c r="E73" s="52"/>
      <x:c r="F73" s="66"/>
      <x:c r="G73" s="53"/>
      <x:c r="H73" s="53"/>
      <x:c r="I73" s="53"/>
      <x:c r="J73" s="60" t="str">
        <x:f>IF(COUNTA(C73:E73,G73:I73)=0,"",C73*$Q$2+(D73+E73)*$Q$3+G73*$Q$2+(H73+I73)*$Q$3)</x:f>
      </x:c>
      <x:c r="K73" s="61"/>
      <x:c r="L73" s="62" t="str">
        <x:f>IF(J73="","",MAX(J73-IF(K73="",0,K73),0))</x:f>
      </x:c>
      <x:c r="M73" s="59" t="str">
        <x:f>IF(J73="","",IF(K73&gt;=J73,"จ่ายแล้ว",IF(K73&gt;0,"จ่ายบางส่วน","ยังไม่ได้จ่าย")))</x:f>
      </x:c>
      <x:c r="N73" s="22"/>
    </x:row>
    <x:row r="74" ht="21" customHeight="1">
      <x:c r="A74" s="22" t="str">
        <x:v>C12-4</x:v>
      </x:c>
      <x:c r="B74" s="22" t="str">
        <x:v>ภาคกลาง</x:v>
      </x:c>
      <x:c r="C74" s="52"/>
      <x:c r="D74" s="52"/>
      <x:c r="E74" s="52"/>
      <x:c r="F74" s="66"/>
      <x:c r="G74" s="53"/>
      <x:c r="H74" s="53"/>
      <x:c r="I74" s="53"/>
      <x:c r="J74" s="60" t="str">
        <x:f>IF(COUNTA(C74:E74,G74:I74)=0,"",C74*$Q$2+(D74+E74)*$Q$3+G74*$Q$2+(H74+I74)*$Q$3)</x:f>
      </x:c>
      <x:c r="K74" s="61"/>
      <x:c r="L74" s="62" t="str">
        <x:f>IF(J74="","",MAX(J74-IF(K74="",0,K74),0))</x:f>
      </x:c>
      <x:c r="M74" s="59" t="str">
        <x:f>IF(J74="","",IF(K74&gt;=J74,"จ่ายแล้ว",IF(K74&gt;0,"จ่ายบางส่วน","ยังไม่ได้จ่าย")))</x:f>
      </x:c>
      <x:c r="N74" s="22"/>
    </x:row>
    <x:row r="75" ht="21" customHeight="1">
      <x:c r="A75" s="22" t="str">
        <x:v>C12-5</x:v>
      </x:c>
      <x:c r="B75" s="22" t="str">
        <x:v>ภาคกลาง</x:v>
      </x:c>
      <x:c r="C75" s="52"/>
      <x:c r="D75" s="52"/>
      <x:c r="E75" s="52" t="n">
        <x:v>2</x:v>
      </x:c>
      <x:c r="F75" s="66"/>
      <x:c r="G75" s="53"/>
      <x:c r="H75" s="53"/>
      <x:c r="I75" s="53"/>
      <x:c r="J75" s="60" t="n">
        <x:f>IF(COUNTA(C75:E75,G75:I75)=0,"",C75*$Q$2+(D75+E75)*$Q$3+G75*$Q$2+(H75+I75)*$Q$3)</x:f>
        <x:v>120</x:v>
      </x:c>
      <x:c r="K75" s="61" t="n">
        <x:v>0</x:v>
      </x:c>
      <x:c r="L75" s="62" t="n">
        <x:f>IF(J75="","",MAX(J75-IF(K75="",0,K75),0))</x:f>
        <x:v>120</x:v>
      </x:c>
      <x:c r="M75" s="59" t="str">
        <x:f>IF(J75="","",IF(K75&gt;=J75,"จ่ายแล้ว",IF(K75&gt;0,"จ่ายบางส่วน","ยังไม่ได้จ่าย")))</x:f>
        <x:v>ยังไม่ได้จ่าย</x:v>
      </x:c>
      <x:c r="N75" s="22"/>
    </x:row>
    <x:row r="76" ht="21" customHeight="1">
      <x:c r="A76" s="22" t="str">
        <x:v>C12-6</x:v>
      </x:c>
      <x:c r="B76" s="22" t="str">
        <x:v>ภาคกลาง</x:v>
      </x:c>
      <x:c r="C76" s="52"/>
      <x:c r="D76" s="52"/>
      <x:c r="E76" s="52"/>
      <x:c r="F76" s="66"/>
      <x:c r="G76" s="53"/>
      <x:c r="H76" s="53"/>
      <x:c r="I76" s="53"/>
      <x:c r="J76" s="60" t="str">
        <x:f>IF(COUNTA(C76:E76,G76:I76)=0,"",C76*$Q$2+(D76+E76)*$Q$3+G76*$Q$2+(H76+I76)*$Q$3)</x:f>
      </x:c>
      <x:c r="K76" s="61"/>
      <x:c r="L76" s="62" t="str">
        <x:f>IF(J76="","",MAX(J76-IF(K76="",0,K76),0))</x:f>
      </x:c>
      <x:c r="M76" s="59" t="str">
        <x:f>IF(J76="","",IF(K76&gt;=J76,"จ่ายแล้ว",IF(K76&gt;0,"จ่ายบางส่วน","ยังไม่ได้จ่าย")))</x:f>
      </x:c>
      <x:c r="N76" s="22"/>
    </x:row>
    <x:row r="77" ht="21" customHeight="1">
      <x:c r="A77" s="22" t="str">
        <x:v>C13-1</x:v>
      </x:c>
      <x:c r="B77" s="22" t="str">
        <x:v>ภาคกลาง</x:v>
      </x:c>
      <x:c r="C77" s="52"/>
      <x:c r="D77" s="52"/>
      <x:c r="E77" s="52"/>
      <x:c r="F77" s="66"/>
      <x:c r="G77" s="53"/>
      <x:c r="H77" s="53"/>
      <x:c r="I77" s="53"/>
      <x:c r="J77" s="60" t="str">
        <x:f>IF(COUNTA(C77:E77,G77:I77)=0,"",C77*$Q$2+(D77+E77)*$Q$3+G77*$Q$2+(H77+I77)*$Q$3)</x:f>
      </x:c>
      <x:c r="K77" s="61"/>
      <x:c r="L77" s="62" t="str">
        <x:f>IF(J77="","",MAX(J77-IF(K77="",0,K77),0))</x:f>
      </x:c>
      <x:c r="M77" s="59" t="str">
        <x:f>IF(J77="","",IF(K77&gt;=J77,"จ่ายแล้ว",IF(K77&gt;0,"จ่ายบางส่วน","ยังไม่ได้จ่าย")))</x:f>
      </x:c>
      <x:c r="N77" s="22"/>
    </x:row>
    <x:row r="78" ht="21" customHeight="1">
      <x:c r="A78" s="22" t="str">
        <x:v>C13-2</x:v>
      </x:c>
      <x:c r="B78" s="22" t="str">
        <x:v>ภาคกลาง</x:v>
      </x:c>
      <x:c r="C78" s="52"/>
      <x:c r="D78" s="52"/>
      <x:c r="E78" s="52"/>
      <x:c r="F78" s="66"/>
      <x:c r="G78" s="53"/>
      <x:c r="H78" s="53"/>
      <x:c r="I78" s="53"/>
      <x:c r="J78" s="60" t="str">
        <x:f>IF(COUNTA(C78:E78,G78:I78)=0,"",C78*$Q$2+(D78+E78)*$Q$3+G78*$Q$2+(H78+I78)*$Q$3)</x:f>
      </x:c>
      <x:c r="K78" s="61"/>
      <x:c r="L78" s="62" t="str">
        <x:f>IF(J78="","",MAX(J78-IF(K78="",0,K78),0))</x:f>
      </x:c>
      <x:c r="M78" s="59" t="str">
        <x:f>IF(J78="","",IF(K78&gt;=J78,"จ่ายแล้ว",IF(K78&gt;0,"จ่ายบางส่วน","ยังไม่ได้จ่าย")))</x:f>
      </x:c>
      <x:c r="N78" s="22"/>
    </x:row>
    <x:row r="79" ht="21" customHeight="1">
      <x:c r="A79" s="22" t="str">
        <x:v>C13-3</x:v>
      </x:c>
      <x:c r="B79" s="22" t="str">
        <x:v>ภาคกลาง</x:v>
      </x:c>
      <x:c r="C79" s="52"/>
      <x:c r="D79" s="52"/>
      <x:c r="E79" s="52"/>
      <x:c r="F79" s="66"/>
      <x:c r="G79" s="53"/>
      <x:c r="H79" s="53"/>
      <x:c r="I79" s="53"/>
      <x:c r="J79" s="60" t="str">
        <x:f>IF(COUNTA(C79:E79,G79:I79)=0,"",C79*$Q$2+(D79+E79)*$Q$3+G79*$Q$2+(H79+I79)*$Q$3)</x:f>
      </x:c>
      <x:c r="K79" s="61"/>
      <x:c r="L79" s="62" t="str">
        <x:f>IF(J79="","",MAX(J79-IF(K79="",0,K79),0))</x:f>
      </x:c>
      <x:c r="M79" s="59" t="str">
        <x:f>IF(J79="","",IF(K79&gt;=J79,"จ่ายแล้ว",IF(K79&gt;0,"จ่ายบางส่วน","ยังไม่ได้จ่าย")))</x:f>
      </x:c>
      <x:c r="N79" s="22"/>
    </x:row>
    <x:row r="80" ht="21" customHeight="1">
      <x:c r="A80" s="22" t="str">
        <x:v>C13-4</x:v>
      </x:c>
      <x:c r="B80" s="22" t="str">
        <x:v>ภาคกลาง</x:v>
      </x:c>
      <x:c r="C80" s="52"/>
      <x:c r="D80" s="52"/>
      <x:c r="E80" s="52"/>
      <x:c r="F80" s="66"/>
      <x:c r="G80" s="53"/>
      <x:c r="H80" s="53"/>
      <x:c r="I80" s="53"/>
      <x:c r="J80" s="60" t="str">
        <x:f>IF(COUNTA(C80:E80,G80:I80)=0,"",C80*$Q$2+(D80+E80)*$Q$3+G80*$Q$2+(H80+I80)*$Q$3)</x:f>
      </x:c>
      <x:c r="K80" s="61"/>
      <x:c r="L80" s="62" t="str">
        <x:f>IF(J80="","",MAX(J80-IF(K80="",0,K80),0))</x:f>
      </x:c>
      <x:c r="M80" s="59" t="str">
        <x:f>IF(J80="","",IF(K80&gt;=J80,"จ่ายแล้ว",IF(K80&gt;0,"จ่ายบางส่วน","ยังไม่ได้จ่าย")))</x:f>
      </x:c>
      <x:c r="N80" s="22"/>
    </x:row>
    <x:row r="81" ht="21" customHeight="1">
      <x:c r="A81" s="22" t="str">
        <x:v>C13-5</x:v>
      </x:c>
      <x:c r="B81" s="22" t="str">
        <x:v>ภาคกลาง</x:v>
      </x:c>
      <x:c r="C81" s="52"/>
      <x:c r="D81" s="52"/>
      <x:c r="E81" s="52"/>
      <x:c r="F81" s="66"/>
      <x:c r="G81" s="53"/>
      <x:c r="H81" s="53"/>
      <x:c r="I81" s="53"/>
      <x:c r="J81" s="60" t="str">
        <x:f>IF(COUNTA(C81:E81,G81:I81)=0,"",C81*$Q$2+(D81+E81)*$Q$3+G81*$Q$2+(H81+I81)*$Q$3)</x:f>
      </x:c>
      <x:c r="K81" s="61"/>
      <x:c r="L81" s="62" t="str">
        <x:f>IF(J81="","",MAX(J81-IF(K81="",0,K81),0))</x:f>
      </x:c>
      <x:c r="M81" s="59" t="str">
        <x:f>IF(J81="","",IF(K81&gt;=J81,"จ่ายแล้ว",IF(K81&gt;0,"จ่ายบางส่วน","ยังไม่ได้จ่าย")))</x:f>
      </x:c>
      <x:c r="N81" s="22"/>
    </x:row>
    <x:row r="82" ht="21" customHeight="1">
      <x:c r="A82" s="22" t="str">
        <x:v>C13-6</x:v>
      </x:c>
      <x:c r="B82" s="22" t="str">
        <x:v>ภาคกลาง</x:v>
      </x:c>
      <x:c r="C82" s="52"/>
      <x:c r="D82" s="52"/>
      <x:c r="E82" s="52"/>
      <x:c r="F82" s="66"/>
      <x:c r="G82" s="53"/>
      <x:c r="H82" s="53"/>
      <x:c r="I82" s="53"/>
      <x:c r="J82" s="60" t="str">
        <x:f>IF(COUNTA(C82:E82,G82:I82)=0,"",C82*$Q$2+(D82+E82)*$Q$3+G82*$Q$2+(H82+I82)*$Q$3)</x:f>
      </x:c>
      <x:c r="K82" s="61"/>
      <x:c r="L82" s="62" t="str">
        <x:f>IF(J82="","",MAX(J82-IF(K82="",0,K82),0))</x:f>
      </x:c>
      <x:c r="M82" s="59" t="str">
        <x:f>IF(J82="","",IF(K82&gt;=J82,"จ่ายแล้ว",IF(K82&gt;0,"จ่ายบางส่วน","ยังไม่ได้จ่าย")))</x:f>
      </x:c>
      <x:c r="N82" s="22"/>
    </x:row>
    <x:row r="83" ht="21" customHeight="1">
      <x:c r="A83" s="22" t="str">
        <x:v>C14-1</x:v>
      </x:c>
      <x:c r="B83" s="22" t="str">
        <x:v>ภาคกลาง</x:v>
      </x:c>
      <x:c r="C83" s="52"/>
      <x:c r="D83" s="52"/>
      <x:c r="E83" s="52"/>
      <x:c r="F83" s="66"/>
      <x:c r="G83" s="53"/>
      <x:c r="H83" s="53"/>
      <x:c r="I83" s="53"/>
      <x:c r="J83" s="60" t="str">
        <x:f>IF(COUNTA(C83:E83,G83:I83)=0,"",C83*$Q$2+(D83+E83)*$Q$3+G83*$Q$2+(H83+I83)*$Q$3)</x:f>
      </x:c>
      <x:c r="K83" s="61"/>
      <x:c r="L83" s="62" t="str">
        <x:f>IF(J83="","",MAX(J83-IF(K83="",0,K83),0))</x:f>
      </x:c>
      <x:c r="M83" s="59" t="str">
        <x:f>IF(J83="","",IF(K83&gt;=J83,"จ่ายแล้ว",IF(K83&gt;0,"จ่ายบางส่วน","ยังไม่ได้จ่าย")))</x:f>
      </x:c>
      <x:c r="N83" s="22"/>
    </x:row>
    <x:row r="84" ht="21" customHeight="1">
      <x:c r="A84" s="22" t="str">
        <x:v>C14-2</x:v>
      </x:c>
      <x:c r="B84" s="22" t="str">
        <x:v>ภาคกลาง</x:v>
      </x:c>
      <x:c r="C84" s="52"/>
      <x:c r="D84" s="52"/>
      <x:c r="E84" s="52"/>
      <x:c r="F84" s="66"/>
      <x:c r="G84" s="53"/>
      <x:c r="H84" s="53"/>
      <x:c r="I84" s="53"/>
      <x:c r="J84" s="60" t="str">
        <x:f>IF(COUNTA(C84:E84,G84:I84)=0,"",C84*$Q$2+(D84+E84)*$Q$3+G84*$Q$2+(H84+I84)*$Q$3)</x:f>
      </x:c>
      <x:c r="K84" s="61"/>
      <x:c r="L84" s="62" t="str">
        <x:f>IF(J84="","",MAX(J84-IF(K84="",0,K84),0))</x:f>
      </x:c>
      <x:c r="M84" s="59" t="str">
        <x:f>IF(J84="","",IF(K84&gt;=J84,"จ่ายแล้ว",IF(K84&gt;0,"จ่ายบางส่วน","ยังไม่ได้จ่าย")))</x:f>
      </x:c>
      <x:c r="N84" s="22"/>
    </x:row>
    <x:row r="85" ht="21" customHeight="1">
      <x:c r="A85" s="22" t="str">
        <x:v>C14-3</x:v>
      </x:c>
      <x:c r="B85" s="22" t="str">
        <x:v>ภาคกลาง</x:v>
      </x:c>
      <x:c r="C85" s="52"/>
      <x:c r="D85" s="52"/>
      <x:c r="E85" s="52"/>
      <x:c r="F85" s="66"/>
      <x:c r="G85" s="53"/>
      <x:c r="H85" s="53"/>
      <x:c r="I85" s="53"/>
      <x:c r="J85" s="60" t="str">
        <x:f>IF(COUNTA(C85:E85,G85:I85)=0,"",C85*$Q$2+(D85+E85)*$Q$3+G85*$Q$2+(H85+I85)*$Q$3)</x:f>
      </x:c>
      <x:c r="K85" s="61"/>
      <x:c r="L85" s="62" t="str">
        <x:f>IF(J85="","",MAX(J85-IF(K85="",0,K85),0))</x:f>
      </x:c>
      <x:c r="M85" s="59" t="str">
        <x:f>IF(J85="","",IF(K85&gt;=J85,"จ่ายแล้ว",IF(K85&gt;0,"จ่ายบางส่วน","ยังไม่ได้จ่าย")))</x:f>
      </x:c>
      <x:c r="N85" s="22"/>
    </x:row>
    <x:row r="86" ht="21" customHeight="1">
      <x:c r="A86" s="22" t="str">
        <x:v>C14-4</x:v>
      </x:c>
      <x:c r="B86" s="22" t="str">
        <x:v>ภาคกลาง</x:v>
      </x:c>
      <x:c r="C86" s="52"/>
      <x:c r="D86" s="52"/>
      <x:c r="E86" s="52"/>
      <x:c r="F86" s="66"/>
      <x:c r="G86" s="53"/>
      <x:c r="H86" s="53"/>
      <x:c r="I86" s="53"/>
      <x:c r="J86" s="60" t="str">
        <x:f>IF(COUNTA(C86:E86,G86:I86)=0,"",C86*$Q$2+(D86+E86)*$Q$3+G86*$Q$2+(H86+I86)*$Q$3)</x:f>
      </x:c>
      <x:c r="K86" s="61"/>
      <x:c r="L86" s="62" t="str">
        <x:f>IF(J86="","",MAX(J86-IF(K86="",0,K86),0))</x:f>
      </x:c>
      <x:c r="M86" s="59" t="str">
        <x:f>IF(J86="","",IF(K86&gt;=J86,"จ่ายแล้ว",IF(K86&gt;0,"จ่ายบางส่วน","ยังไม่ได้จ่าย")))</x:f>
      </x:c>
      <x:c r="N86" s="22"/>
    </x:row>
    <x:row r="87" ht="21" customHeight="1">
      <x:c r="A87" s="22" t="str">
        <x:v>C14-5</x:v>
      </x:c>
      <x:c r="B87" s="22" t="str">
        <x:v>ภาคกลาง</x:v>
      </x:c>
      <x:c r="C87" s="52"/>
      <x:c r="D87" s="52"/>
      <x:c r="E87" s="52"/>
      <x:c r="F87" s="66"/>
      <x:c r="G87" s="53"/>
      <x:c r="H87" s="53"/>
      <x:c r="I87" s="53"/>
      <x:c r="J87" s="60" t="str">
        <x:f>IF(COUNTA(C87:E87,G87:I87)=0,"",C87*$Q$2+(D87+E87)*$Q$3+G87*$Q$2+(H87+I87)*$Q$3)</x:f>
      </x:c>
      <x:c r="K87" s="61"/>
      <x:c r="L87" s="62" t="str">
        <x:f>IF(J87="","",MAX(J87-IF(K87="",0,K87),0))</x:f>
      </x:c>
      <x:c r="M87" s="59" t="str">
        <x:f>IF(J87="","",IF(K87&gt;=J87,"จ่ายแล้ว",IF(K87&gt;0,"จ่ายบางส่วน","ยังไม่ได้จ่าย")))</x:f>
      </x:c>
      <x:c r="N87" s="22"/>
    </x:row>
    <x:row r="88" ht="21" customHeight="1">
      <x:c r="A88" s="22" t="str">
        <x:v>C14-6</x:v>
      </x:c>
      <x:c r="B88" s="22" t="str">
        <x:v>ภาคกลาง</x:v>
      </x:c>
      <x:c r="C88" s="52"/>
      <x:c r="D88" s="52"/>
      <x:c r="E88" s="52"/>
      <x:c r="F88" s="66"/>
      <x:c r="G88" s="53"/>
      <x:c r="H88" s="53"/>
      <x:c r="I88" s="53"/>
      <x:c r="J88" s="60" t="str">
        <x:f>IF(COUNTA(C88:E88,G88:I88)=0,"",C88*$Q$2+(D88+E88)*$Q$3+G88*$Q$2+(H88+I88)*$Q$3)</x:f>
      </x:c>
      <x:c r="K88" s="61"/>
      <x:c r="L88" s="62" t="str">
        <x:f>IF(J88="","",MAX(J88-IF(K88="",0,K88),0))</x:f>
      </x:c>
      <x:c r="M88" s="59" t="str">
        <x:f>IF(J88="","",IF(K88&gt;=J88,"จ่ายแล้ว",IF(K88&gt;0,"จ่ายบางส่วน","ยังไม่ได้จ่าย")))</x:f>
      </x:c>
      <x:c r="N88" s="22"/>
    </x:row>
    <x:row r="89" ht="21" customHeight="1">
      <x:c r="A89" s="22" t="str">
        <x:v>C15-1</x:v>
      </x:c>
      <x:c r="B89" s="22" t="str">
        <x:v>ภาคกลาง</x:v>
      </x:c>
      <x:c r="C89" s="52"/>
      <x:c r="D89" s="52"/>
      <x:c r="E89" s="52"/>
      <x:c r="F89" s="66"/>
      <x:c r="G89" s="53"/>
      <x:c r="H89" s="53"/>
      <x:c r="I89" s="53"/>
      <x:c r="J89" s="60" t="str">
        <x:f>IF(COUNTA(C89:E89,G89:I89)=0,"",C89*$Q$2+(D89+E89)*$Q$3+G89*$Q$2+(H89+I89)*$Q$3)</x:f>
      </x:c>
      <x:c r="K89" s="61"/>
      <x:c r="L89" s="62" t="str">
        <x:f>IF(J89="","",MAX(J89-IF(K89="",0,K89),0))</x:f>
      </x:c>
      <x:c r="M89" s="59" t="str">
        <x:f>IF(J89="","",IF(K89&gt;=J89,"จ่ายแล้ว",IF(K89&gt;0,"จ่ายบางส่วน","ยังไม่ได้จ่าย")))</x:f>
      </x:c>
      <x:c r="N89" s="22"/>
    </x:row>
    <x:row r="90" ht="21" customHeight="1">
      <x:c r="A90" s="22" t="str">
        <x:v>C15-2</x:v>
      </x:c>
      <x:c r="B90" s="22" t="str">
        <x:v>ภาคกลาง</x:v>
      </x:c>
      <x:c r="C90" s="52"/>
      <x:c r="D90" s="52"/>
      <x:c r="E90" s="52"/>
      <x:c r="F90" s="66"/>
      <x:c r="G90" s="53"/>
      <x:c r="H90" s="53"/>
      <x:c r="I90" s="53"/>
      <x:c r="J90" s="60" t="str">
        <x:f>IF(COUNTA(C90:E90,G90:I90)=0,"",C90*$Q$2+(D90+E90)*$Q$3+G90*$Q$2+(H90+I90)*$Q$3)</x:f>
      </x:c>
      <x:c r="K90" s="61"/>
      <x:c r="L90" s="62" t="str">
        <x:f>IF(J90="","",MAX(J90-IF(K90="",0,K90),0))</x:f>
      </x:c>
      <x:c r="M90" s="59" t="str">
        <x:f>IF(J90="","",IF(K90&gt;=J90,"จ่ายแล้ว",IF(K90&gt;0,"จ่ายบางส่วน","ยังไม่ได้จ่าย")))</x:f>
      </x:c>
      <x:c r="N90" s="22"/>
    </x:row>
    <x:row r="91" ht="21" customHeight="1">
      <x:c r="A91" s="22" t="str">
        <x:v>C15-3</x:v>
      </x:c>
      <x:c r="B91" s="22" t="str">
        <x:v>ภาคกลาง</x:v>
      </x:c>
      <x:c r="C91" s="52"/>
      <x:c r="D91" s="52"/>
      <x:c r="E91" s="52"/>
      <x:c r="F91" s="66"/>
      <x:c r="G91" s="53"/>
      <x:c r="H91" s="53"/>
      <x:c r="I91" s="53"/>
      <x:c r="J91" s="60" t="str">
        <x:f>IF(COUNTA(C91:E91,G91:I91)=0,"",C91*$Q$2+(D91+E91)*$Q$3+G91*$Q$2+(H91+I91)*$Q$3)</x:f>
      </x:c>
      <x:c r="K91" s="61"/>
      <x:c r="L91" s="62" t="str">
        <x:f>IF(J91="","",MAX(J91-IF(K91="",0,K91),0))</x:f>
      </x:c>
      <x:c r="M91" s="59" t="str">
        <x:f>IF(J91="","",IF(K91&gt;=J91,"จ่ายแล้ว",IF(K91&gt;0,"จ่ายบางส่วน","ยังไม่ได้จ่าย")))</x:f>
      </x:c>
      <x:c r="N91" s="22"/>
    </x:row>
    <x:row r="92" ht="21" customHeight="1">
      <x:c r="A92" s="22" t="str">
        <x:v>C15-4</x:v>
      </x:c>
      <x:c r="B92" s="22" t="str">
        <x:v>ภาคกลาง</x:v>
      </x:c>
      <x:c r="C92" s="52"/>
      <x:c r="D92" s="52"/>
      <x:c r="E92" s="52"/>
      <x:c r="F92" s="66"/>
      <x:c r="G92" s="53"/>
      <x:c r="H92" s="53"/>
      <x:c r="I92" s="53"/>
      <x:c r="J92" s="60" t="str">
        <x:f>IF(COUNTA(C92:E92,G92:I92)=0,"",C92*$Q$2+(D92+E92)*$Q$3+G92*$Q$2+(H92+I92)*$Q$3)</x:f>
      </x:c>
      <x:c r="K92" s="61"/>
      <x:c r="L92" s="62" t="str">
        <x:f>IF(J92="","",MAX(J92-IF(K92="",0,K92),0))</x:f>
      </x:c>
      <x:c r="M92" s="59" t="str">
        <x:f>IF(J92="","",IF(K92&gt;=J92,"จ่ายแล้ว",IF(K92&gt;0,"จ่ายบางส่วน","ยังไม่ได้จ่าย")))</x:f>
      </x:c>
      <x:c r="N92" s="22"/>
    </x:row>
    <x:row r="93" ht="21" customHeight="1">
      <x:c r="A93" s="22" t="str">
        <x:v>C15-5</x:v>
      </x:c>
      <x:c r="B93" s="22" t="str">
        <x:v>ภาคกลาง</x:v>
      </x:c>
      <x:c r="C93" s="52"/>
      <x:c r="D93" s="52"/>
      <x:c r="E93" s="52"/>
      <x:c r="F93" s="66"/>
      <x:c r="G93" s="53"/>
      <x:c r="H93" s="53"/>
      <x:c r="I93" s="53"/>
      <x:c r="J93" s="60" t="str">
        <x:f>IF(COUNTA(C93:E93,G93:I93)=0,"",C93*$Q$2+(D93+E93)*$Q$3+G93*$Q$2+(H93+I93)*$Q$3)</x:f>
      </x:c>
      <x:c r="K93" s="61"/>
      <x:c r="L93" s="62" t="str">
        <x:f>IF(J93="","",MAX(J93-IF(K93="",0,K93),0))</x:f>
      </x:c>
      <x:c r="M93" s="59" t="str">
        <x:f>IF(J93="","",IF(K93&gt;=J93,"จ่ายแล้ว",IF(K93&gt;0,"จ่ายบางส่วน","ยังไม่ได้จ่าย")))</x:f>
      </x:c>
      <x:c r="N93" s="22"/>
    </x:row>
    <x:row r="94" ht="21" customHeight="1">
      <x:c r="A94" s="22" t="str">
        <x:v>C15-6</x:v>
      </x:c>
      <x:c r="B94" s="22" t="str">
        <x:v>ภาคกลาง</x:v>
      </x:c>
      <x:c r="C94" s="52"/>
      <x:c r="D94" s="52"/>
      <x:c r="E94" s="52"/>
      <x:c r="F94" s="66"/>
      <x:c r="G94" s="53"/>
      <x:c r="H94" s="53"/>
      <x:c r="I94" s="53"/>
      <x:c r="J94" s="60" t="str">
        <x:f>IF(COUNTA(C94:E94,G94:I94)=0,"",C94*$Q$2+(D94+E94)*$Q$3+G94*$Q$2+(H94+I94)*$Q$3)</x:f>
      </x:c>
      <x:c r="K94" s="61"/>
      <x:c r="L94" s="62" t="str">
        <x:f>IF(J94="","",MAX(J94-IF(K94="",0,K94),0))</x:f>
      </x:c>
      <x:c r="M94" s="59" t="str">
        <x:f>IF(J94="","",IF(K94&gt;=J94,"จ่ายแล้ว",IF(K94&gt;0,"จ่ายบางส่วน","ยังไม่ได้จ่าย")))</x:f>
      </x:c>
      <x:c r="N94" s="22"/>
    </x:row>
    <x:row r="95" ht="21" customHeight="1">
      <x:c r="A95" s="22" t="str">
        <x:v>C16-1</x:v>
      </x:c>
      <x:c r="B95" s="22" t="str">
        <x:v>ภาคกลาง</x:v>
      </x:c>
      <x:c r="C95" s="52"/>
      <x:c r="D95" s="52"/>
      <x:c r="E95" s="52"/>
      <x:c r="F95" s="66"/>
      <x:c r="G95" s="53"/>
      <x:c r="H95" s="53"/>
      <x:c r="I95" s="53"/>
      <x:c r="J95" s="60" t="str">
        <x:f>IF(COUNTA(C95:E95,G95:I95)=0,"",C95*$Q$2+(D95+E95)*$Q$3+G95*$Q$2+(H95+I95)*$Q$3)</x:f>
      </x:c>
      <x:c r="K95" s="61"/>
      <x:c r="L95" s="62" t="str">
        <x:f>IF(J95="","",MAX(J95-IF(K95="",0,K95),0))</x:f>
      </x:c>
      <x:c r="M95" s="59" t="str">
        <x:f>IF(J95="","",IF(K95&gt;=J95,"จ่ายแล้ว",IF(K95&gt;0,"จ่ายบางส่วน","ยังไม่ได้จ่าย")))</x:f>
      </x:c>
      <x:c r="N95" s="22"/>
    </x:row>
    <x:row r="96" ht="21" customHeight="1">
      <x:c r="A96" s="22" t="str">
        <x:v>C16-2</x:v>
      </x:c>
      <x:c r="B96" s="22" t="str">
        <x:v>ภาคกลาง</x:v>
      </x:c>
      <x:c r="C96" s="52"/>
      <x:c r="D96" s="52"/>
      <x:c r="E96" s="52"/>
      <x:c r="F96" s="66"/>
      <x:c r="G96" s="53"/>
      <x:c r="H96" s="53"/>
      <x:c r="I96" s="53"/>
      <x:c r="J96" s="60" t="str">
        <x:f>IF(COUNTA(C96:E96,G96:I96)=0,"",C96*$Q$2+(D96+E96)*$Q$3+G96*$Q$2+(H96+I96)*$Q$3)</x:f>
      </x:c>
      <x:c r="K96" s="61"/>
      <x:c r="L96" s="62" t="str">
        <x:f>IF(J96="","",MAX(J96-IF(K96="",0,K96),0))</x:f>
      </x:c>
      <x:c r="M96" s="59" t="str">
        <x:f>IF(J96="","",IF(K96&gt;=J96,"จ่ายแล้ว",IF(K96&gt;0,"จ่ายบางส่วน","ยังไม่ได้จ่าย")))</x:f>
      </x:c>
      <x:c r="N96" s="22"/>
    </x:row>
    <x:row r="97" ht="21" customHeight="1">
      <x:c r="A97" s="22" t="str">
        <x:v>C16-3</x:v>
      </x:c>
      <x:c r="B97" s="22" t="str">
        <x:v>ภาคกลาง</x:v>
      </x:c>
      <x:c r="C97" s="52"/>
      <x:c r="D97" s="52"/>
      <x:c r="E97" s="52"/>
      <x:c r="F97" s="66"/>
      <x:c r="G97" s="53"/>
      <x:c r="H97" s="53"/>
      <x:c r="I97" s="53"/>
      <x:c r="J97" s="60" t="str">
        <x:f>IF(COUNTA(C97:E97,G97:I97)=0,"",C97*$Q$2+(D97+E97)*$Q$3+G97*$Q$2+(H97+I97)*$Q$3)</x:f>
      </x:c>
      <x:c r="K97" s="61"/>
      <x:c r="L97" s="62" t="str">
        <x:f>IF(J97="","",MAX(J97-IF(K97="",0,K97),0))</x:f>
      </x:c>
      <x:c r="M97" s="59" t="str">
        <x:f>IF(J97="","",IF(K97&gt;=J97,"จ่ายแล้ว",IF(K97&gt;0,"จ่ายบางส่วน","ยังไม่ได้จ่าย")))</x:f>
      </x:c>
      <x:c r="N97" s="22"/>
    </x:row>
    <x:row r="98" ht="21" customHeight="1">
      <x:c r="A98" s="22" t="str">
        <x:v>C16-4</x:v>
      </x:c>
      <x:c r="B98" s="22" t="str">
        <x:v>ภาคกลาง</x:v>
      </x:c>
      <x:c r="C98" s="52"/>
      <x:c r="D98" s="52"/>
      <x:c r="E98" s="52"/>
      <x:c r="F98" s="66"/>
      <x:c r="G98" s="53"/>
      <x:c r="H98" s="53"/>
      <x:c r="I98" s="53"/>
      <x:c r="J98" s="60" t="str">
        <x:f>IF(COUNTA(C98:E98,G98:I98)=0,"",C98*$Q$2+(D98+E98)*$Q$3+G98*$Q$2+(H98+I98)*$Q$3)</x:f>
      </x:c>
      <x:c r="K98" s="61"/>
      <x:c r="L98" s="62" t="str">
        <x:f>IF(J98="","",MAX(J98-IF(K98="",0,K98),0))</x:f>
      </x:c>
      <x:c r="M98" s="59" t="str">
        <x:f>IF(J98="","",IF(K98&gt;=J98,"จ่ายแล้ว",IF(K98&gt;0,"จ่ายบางส่วน","ยังไม่ได้จ่าย")))</x:f>
      </x:c>
      <x:c r="N98" s="22"/>
    </x:row>
    <x:row r="99" ht="21" customHeight="1">
      <x:c r="A99" s="22" t="str">
        <x:v>C16-5</x:v>
      </x:c>
      <x:c r="B99" s="22" t="str">
        <x:v>ภาคกลาง</x:v>
      </x:c>
      <x:c r="C99" s="52"/>
      <x:c r="D99" s="52"/>
      <x:c r="E99" s="52"/>
      <x:c r="F99" s="66"/>
      <x:c r="G99" s="53"/>
      <x:c r="H99" s="53"/>
      <x:c r="I99" s="53"/>
      <x:c r="J99" s="60" t="str">
        <x:f>IF(COUNTA(C99:E99,G99:I99)=0,"",C99*$Q$2+(D99+E99)*$Q$3+G99*$Q$2+(H99+I99)*$Q$3)</x:f>
      </x:c>
      <x:c r="K99" s="61"/>
      <x:c r="L99" s="62" t="str">
        <x:f>IF(J99="","",MAX(J99-IF(K99="",0,K99),0))</x:f>
      </x:c>
      <x:c r="M99" s="59" t="str">
        <x:f>IF(J99="","",IF(K99&gt;=J99,"จ่ายแล้ว",IF(K99&gt;0,"จ่ายบางส่วน","ยังไม่ได้จ่าย")))</x:f>
      </x:c>
      <x:c r="N99" s="22"/>
    </x:row>
    <x:row r="100" ht="21" customHeight="1">
      <x:c r="A100" s="22" t="str">
        <x:v>C16-6</x:v>
      </x:c>
      <x:c r="B100" s="22" t="str">
        <x:v>ภาคกลาง</x:v>
      </x:c>
      <x:c r="C100" s="52"/>
      <x:c r="D100" s="52"/>
      <x:c r="E100" s="52"/>
      <x:c r="F100" s="66"/>
      <x:c r="G100" s="53"/>
      <x:c r="H100" s="53"/>
      <x:c r="I100" s="53"/>
      <x:c r="J100" s="60" t="str">
        <x:f>IF(COUNTA(C100:E100,G100:I100)=0,"",C100*$Q$2+(D100+E100)*$Q$3+G100*$Q$2+(H100+I100)*$Q$3)</x:f>
      </x:c>
      <x:c r="K100" s="61"/>
      <x:c r="L100" s="62" t="str">
        <x:f>IF(J100="","",MAX(J100-IF(K100="",0,K100),0))</x:f>
      </x:c>
      <x:c r="M100" s="59" t="str">
        <x:f>IF(J100="","",IF(K100&gt;=J100,"จ่ายแล้ว",IF(K100&gt;0,"จ่ายบางส่วน","ยังไม่ได้จ่าย")))</x:f>
      </x:c>
      <x:c r="N100" s="22"/>
    </x:row>
    <x:row r="101" ht="21" customHeight="1">
      <x:c r="A101" s="22" t="str">
        <x:v>C17-1</x:v>
      </x:c>
      <x:c r="B101" s="22" t="str">
        <x:v>ภาคกลาง</x:v>
      </x:c>
      <x:c r="C101" s="52"/>
      <x:c r="D101" s="52"/>
      <x:c r="E101" s="52"/>
      <x:c r="F101" s="66"/>
      <x:c r="G101" s="53"/>
      <x:c r="H101" s="53"/>
      <x:c r="I101" s="53"/>
      <x:c r="J101" s="60" t="str">
        <x:f>IF(COUNTA(C101:E101,G101:I101)=0,"",C101*$Q$2+(D101+E101)*$Q$3+G101*$Q$2+(H101+I101)*$Q$3)</x:f>
      </x:c>
      <x:c r="K101" s="61"/>
      <x:c r="L101" s="62" t="str">
        <x:f>IF(J101="","",MAX(J101-IF(K101="",0,K101),0))</x:f>
      </x:c>
      <x:c r="M101" s="59" t="str">
        <x:f>IF(J101="","",IF(K101&gt;=J101,"จ่ายแล้ว",IF(K101&gt;0,"จ่ายบางส่วน","ยังไม่ได้จ่าย")))</x:f>
      </x:c>
      <x:c r="N101" s="22"/>
    </x:row>
    <x:row r="102" ht="21" customHeight="1">
      <x:c r="A102" s="22" t="str">
        <x:v>C17-2</x:v>
      </x:c>
      <x:c r="B102" s="22" t="str">
        <x:v>ภาคกลาง</x:v>
      </x:c>
      <x:c r="C102" s="52"/>
      <x:c r="D102" s="52"/>
      <x:c r="E102" s="52"/>
      <x:c r="F102" s="66"/>
      <x:c r="G102" s="53"/>
      <x:c r="H102" s="53"/>
      <x:c r="I102" s="53"/>
      <x:c r="J102" s="60" t="str">
        <x:f>IF(COUNTA(C102:E102,G102:I102)=0,"",C102*$Q$2+(D102+E102)*$Q$3+G102*$Q$2+(H102+I102)*$Q$3)</x:f>
      </x:c>
      <x:c r="K102" s="61"/>
      <x:c r="L102" s="62" t="str">
        <x:f>IF(J102="","",MAX(J102-IF(K102="",0,K102),0))</x:f>
      </x:c>
      <x:c r="M102" s="59" t="str">
        <x:f>IF(J102="","",IF(K102&gt;=J102,"จ่ายแล้ว",IF(K102&gt;0,"จ่ายบางส่วน","ยังไม่ได้จ่าย")))</x:f>
      </x:c>
      <x:c r="N102" s="22"/>
    </x:row>
    <x:row r="103" ht="21" customHeight="1">
      <x:c r="A103" s="22" t="str">
        <x:v>C17-3</x:v>
      </x:c>
      <x:c r="B103" s="22" t="str">
        <x:v>ภาคกลาง</x:v>
      </x:c>
      <x:c r="C103" s="52"/>
      <x:c r="D103" s="52"/>
      <x:c r="E103" s="52"/>
      <x:c r="F103" s="66"/>
      <x:c r="G103" s="53"/>
      <x:c r="H103" s="53"/>
      <x:c r="I103" s="53"/>
      <x:c r="J103" s="60" t="str">
        <x:f>IF(COUNTA(C103:E103,G103:I103)=0,"",C103*$Q$2+(D103+E103)*$Q$3+G103*$Q$2+(H103+I103)*$Q$3)</x:f>
      </x:c>
      <x:c r="K103" s="61"/>
      <x:c r="L103" s="62" t="str">
        <x:f>IF(J103="","",MAX(J103-IF(K103="",0,K103),0))</x:f>
      </x:c>
      <x:c r="M103" s="59" t="str">
        <x:f>IF(J103="","",IF(K103&gt;=J103,"จ่ายแล้ว",IF(K103&gt;0,"จ่ายบางส่วน","ยังไม่ได้จ่าย")))</x:f>
      </x:c>
      <x:c r="N103" s="22"/>
    </x:row>
    <x:row r="104" ht="21" customHeight="1">
      <x:c r="A104" s="22" t="str">
        <x:v>C17-4</x:v>
      </x:c>
      <x:c r="B104" s="22" t="str">
        <x:v>ภาคกลาง</x:v>
      </x:c>
      <x:c r="C104" s="52"/>
      <x:c r="D104" s="52"/>
      <x:c r="E104" s="52"/>
      <x:c r="F104" s="66"/>
      <x:c r="G104" s="53"/>
      <x:c r="H104" s="53"/>
      <x:c r="I104" s="53"/>
      <x:c r="J104" s="60" t="str">
        <x:f>IF(COUNTA(C104:E104,G104:I104)=0,"",C104*$Q$2+(D104+E104)*$Q$3+G104*$Q$2+(H104+I104)*$Q$3)</x:f>
      </x:c>
      <x:c r="K104" s="61"/>
      <x:c r="L104" s="62" t="str">
        <x:f>IF(J104="","",MAX(J104-IF(K104="",0,K104),0))</x:f>
      </x:c>
      <x:c r="M104" s="59" t="str">
        <x:f>IF(J104="","",IF(K104&gt;=J104,"จ่ายแล้ว",IF(K104&gt;0,"จ่ายบางส่วน","ยังไม่ได้จ่าย")))</x:f>
      </x:c>
      <x:c r="N104" s="22"/>
    </x:row>
    <x:row r="105" ht="21" customHeight="1">
      <x:c r="A105" s="22" t="str">
        <x:v>C17-5</x:v>
      </x:c>
      <x:c r="B105" s="22" t="str">
        <x:v>ภาคกลาง</x:v>
      </x:c>
      <x:c r="C105" s="52"/>
      <x:c r="D105" s="52"/>
      <x:c r="E105" s="52"/>
      <x:c r="F105" s="66"/>
      <x:c r="G105" s="53"/>
      <x:c r="H105" s="53"/>
      <x:c r="I105" s="53"/>
      <x:c r="J105" s="60" t="str">
        <x:f>IF(COUNTA(C105:E105,G105:I105)=0,"",C105*$Q$2+(D105+E105)*$Q$3+G105*$Q$2+(H105+I105)*$Q$3)</x:f>
      </x:c>
      <x:c r="K105" s="61"/>
      <x:c r="L105" s="62" t="str">
        <x:f>IF(J105="","",MAX(J105-IF(K105="",0,K105),0))</x:f>
      </x:c>
      <x:c r="M105" s="59" t="str">
        <x:f>IF(J105="","",IF(K105&gt;=J105,"จ่ายแล้ว",IF(K105&gt;0,"จ่ายบางส่วน","ยังไม่ได้จ่าย")))</x:f>
      </x:c>
      <x:c r="N105" s="22"/>
    </x:row>
    <x:row r="106" ht="21" customHeight="1">
      <x:c r="A106" s="22" t="str">
        <x:v>C17-6</x:v>
      </x:c>
      <x:c r="B106" s="22" t="str">
        <x:v>ภาคกลาง</x:v>
      </x:c>
      <x:c r="C106" s="52"/>
      <x:c r="D106" s="52"/>
      <x:c r="E106" s="52"/>
      <x:c r="F106" s="66"/>
      <x:c r="G106" s="53"/>
      <x:c r="H106" s="53"/>
      <x:c r="I106" s="53"/>
      <x:c r="J106" s="60" t="str">
        <x:f>IF(COUNTA(C106:E106,G106:I106)=0,"",C106*$Q$2+(D106+E106)*$Q$3+G106*$Q$2+(H106+I106)*$Q$3)</x:f>
      </x:c>
      <x:c r="K106" s="61"/>
      <x:c r="L106" s="62" t="str">
        <x:f>IF(J106="","",MAX(J106-IF(K106="",0,K106),0))</x:f>
      </x:c>
      <x:c r="M106" s="59" t="str">
        <x:f>IF(J106="","",IF(K106&gt;=J106,"จ่ายแล้ว",IF(K106&gt;0,"จ่ายบางส่วน","ยังไม่ได้จ่าย")))</x:f>
      </x:c>
      <x:c r="N106" s="22"/>
    </x:row>
    <x:row r="107" ht="21" customHeight="1">
      <x:c r="A107" s="22" t="str">
        <x:v>C18-1</x:v>
      </x:c>
      <x:c r="B107" s="22" t="str">
        <x:v>ภาคกลาง</x:v>
      </x:c>
      <x:c r="C107" s="52"/>
      <x:c r="D107" s="52"/>
      <x:c r="E107" s="52"/>
      <x:c r="F107" s="66"/>
      <x:c r="G107" s="53"/>
      <x:c r="H107" s="53"/>
      <x:c r="I107" s="53"/>
      <x:c r="J107" s="60" t="str">
        <x:f>IF(COUNTA(C107:E107,G107:I107)=0,"",C107*$Q$2+(D107+E107)*$Q$3+G107*$Q$2+(H107+I107)*$Q$3)</x:f>
      </x:c>
      <x:c r="K107" s="61"/>
      <x:c r="L107" s="62" t="str">
        <x:f>IF(J107="","",MAX(J107-IF(K107="",0,K107),0))</x:f>
      </x:c>
      <x:c r="M107" s="59" t="str">
        <x:f>IF(J107="","",IF(K107&gt;=J107,"จ่ายแล้ว",IF(K107&gt;0,"จ่ายบางส่วน","ยังไม่ได้จ่าย")))</x:f>
      </x:c>
      <x:c r="N107" s="22"/>
    </x:row>
    <x:row r="108" ht="21" customHeight="1">
      <x:c r="A108" s="22" t="str">
        <x:v>C18-2</x:v>
      </x:c>
      <x:c r="B108" s="22" t="str">
        <x:v>ภาคกลาง</x:v>
      </x:c>
      <x:c r="C108" s="52"/>
      <x:c r="D108" s="52"/>
      <x:c r="E108" s="52"/>
      <x:c r="F108" s="66"/>
      <x:c r="G108" s="53"/>
      <x:c r="H108" s="53"/>
      <x:c r="I108" s="53"/>
      <x:c r="J108" s="60" t="str">
        <x:f>IF(COUNTA(C108:E108,G108:I108)=0,"",C108*$Q$2+(D108+E108)*$Q$3+G108*$Q$2+(H108+I108)*$Q$3)</x:f>
      </x:c>
      <x:c r="K108" s="61"/>
      <x:c r="L108" s="62" t="str">
        <x:f>IF(J108="","",MAX(J108-IF(K108="",0,K108),0))</x:f>
      </x:c>
      <x:c r="M108" s="59" t="str">
        <x:f>IF(J108="","",IF(K108&gt;=J108,"จ่ายแล้ว",IF(K108&gt;0,"จ่ายบางส่วน","ยังไม่ได้จ่าย")))</x:f>
      </x:c>
      <x:c r="N108" s="22"/>
    </x:row>
    <x:row r="109" ht="21" customHeight="1">
      <x:c r="A109" s="22" t="str">
        <x:v>C18-3</x:v>
      </x:c>
      <x:c r="B109" s="22" t="str">
        <x:v>ภาคกลาง</x:v>
      </x:c>
      <x:c r="C109" s="52"/>
      <x:c r="D109" s="52"/>
      <x:c r="E109" s="52"/>
      <x:c r="F109" s="66"/>
      <x:c r="G109" s="53"/>
      <x:c r="H109" s="53"/>
      <x:c r="I109" s="53"/>
      <x:c r="J109" s="60" t="str">
        <x:f>IF(COUNTA(C109:E109,G109:I109)=0,"",C109*$Q$2+(D109+E109)*$Q$3+G109*$Q$2+(H109+I109)*$Q$3)</x:f>
      </x:c>
      <x:c r="K109" s="61"/>
      <x:c r="L109" s="62" t="str">
        <x:f>IF(J109="","",MAX(J109-IF(K109="",0,K109),0))</x:f>
      </x:c>
      <x:c r="M109" s="59" t="str">
        <x:f>IF(J109="","",IF(K109&gt;=J109,"จ่ายแล้ว",IF(K109&gt;0,"จ่ายบางส่วน","ยังไม่ได้จ่าย")))</x:f>
      </x:c>
      <x:c r="N109" s="22"/>
    </x:row>
    <x:row r="110" ht="21" customHeight="1">
      <x:c r="A110" s="72" t="str">
        <x:v>C18-4</x:v>
      </x:c>
      <x:c r="B110" s="72" t="str">
        <x:v>ภาคกลาง</x:v>
      </x:c>
      <x:c r="C110" s="74" t="n">
        <x:v>1</x:v>
      </x:c>
      <x:c r="D110" s="74"/>
      <x:c r="E110" s="74" t="n">
        <x:v>1</x:v>
      </x:c>
      <x:c r="F110" s="66"/>
      <x:c r="G110" s="74"/>
      <x:c r="H110" s="74"/>
      <x:c r="I110" s="74"/>
      <x:c r="J110" s="75" t="n">
        <x:f>IF(COUNTA(C110:E110,G110:I110)=0,"",C110*$Q$2+(D110+E110)*$Q$3+G110*$Q$2+(H110+I110)*$Q$3)</x:f>
        <x:v>160</x:v>
      </x:c>
      <x:c r="K110" s="75" t="n">
        <x:v>0</x:v>
      </x:c>
      <x:c r="L110" s="75" t="n">
        <x:f>IF(J110="","",MAX(J110-IF(K110="",0,K110),0))</x:f>
        <x:v>160</x:v>
      </x:c>
      <x:c r="M110" s="74" t="str">
        <x:f>IF(J110="","",IF(K110&gt;=J110,"จ่ายแล้ว",IF(K110&gt;0,"จ่ายบางส่วน","ยังไม่ได้จ่าย")))</x:f>
        <x:v>ยังไม่ได้จ่าย</x:v>
      </x:c>
      <x:c r="N110" s="72"/>
    </x:row>
    <x:row r="111" ht="21" customHeight="1">
      <x:c r="A111" s="22" t="str">
        <x:v>C18-5</x:v>
      </x:c>
      <x:c r="B111" s="22" t="str">
        <x:v>ภาคกลาง</x:v>
      </x:c>
      <x:c r="C111" s="52"/>
      <x:c r="D111" s="52"/>
      <x:c r="E111" s="52"/>
      <x:c r="F111" s="66"/>
      <x:c r="G111" s="53"/>
      <x:c r="H111" s="53"/>
      <x:c r="I111" s="53"/>
      <x:c r="J111" s="60" t="str">
        <x:f>IF(COUNTA(C111:E111,G111:I111)=0,"",C111*$Q$2+(D111+E111)*$Q$3+G111*$Q$2+(H111+I111)*$Q$3)</x:f>
      </x:c>
      <x:c r="K111" s="61"/>
      <x:c r="L111" s="62" t="str">
        <x:f>IF(J111="","",MAX(J111-IF(K111="",0,K111),0))</x:f>
      </x:c>
      <x:c r="M111" s="59" t="str">
        <x:f>IF(J111="","",IF(K111&gt;=J111,"จ่ายแล้ว",IF(K111&gt;0,"จ่ายบางส่วน","ยังไม่ได้จ่าย")))</x:f>
      </x:c>
      <x:c r="N111" s="22"/>
    </x:row>
    <x:row r="112" ht="21" customHeight="1">
      <x:c r="A112" s="22" t="str">
        <x:v>C18-6</x:v>
      </x:c>
      <x:c r="B112" s="22" t="str">
        <x:v>ภาคกลาง</x:v>
      </x:c>
      <x:c r="C112" s="52"/>
      <x:c r="D112" s="52"/>
      <x:c r="E112" s="52"/>
      <x:c r="F112" s="66"/>
      <x:c r="G112" s="53"/>
      <x:c r="H112" s="53"/>
      <x:c r="I112" s="53"/>
      <x:c r="J112" s="60" t="str">
        <x:f>IF(COUNTA(C112:E112,G112:I112)=0,"",C112*$Q$2+(D112+E112)*$Q$3+G112*$Q$2+(H112+I112)*$Q$3)</x:f>
      </x:c>
      <x:c r="K112" s="61"/>
      <x:c r="L112" s="62" t="str">
        <x:f>IF(J112="","",MAX(J112-IF(K112="",0,K112),0))</x:f>
      </x:c>
      <x:c r="M112" s="59" t="str">
        <x:f>IF(J112="","",IF(K112&gt;=J112,"จ่ายแล้ว",IF(K112&gt;0,"จ่ายบางส่วน","ยังไม่ได้จ่าย")))</x:f>
      </x:c>
      <x:c r="N112" s="22"/>
    </x:row>
    <x:row r="113" ht="21" customHeight="1">
      <x:c r="A113" s="22" t="str">
        <x:v>C19-1</x:v>
      </x:c>
      <x:c r="B113" s="22" t="str">
        <x:v>ภาคกลาง</x:v>
      </x:c>
      <x:c r="C113" s="52"/>
      <x:c r="D113" s="52"/>
      <x:c r="E113" s="52"/>
      <x:c r="F113" s="66"/>
      <x:c r="G113" s="53"/>
      <x:c r="H113" s="53"/>
      <x:c r="I113" s="53"/>
      <x:c r="J113" s="60" t="str">
        <x:f>IF(COUNTA(C113:E113,G113:I113)=0,"",C113*$Q$2+(D113+E113)*$Q$3+G113*$Q$2+(H113+I113)*$Q$3)</x:f>
      </x:c>
      <x:c r="K113" s="61"/>
      <x:c r="L113" s="62" t="str">
        <x:f>IF(J113="","",MAX(J113-IF(K113="",0,K113),0))</x:f>
      </x:c>
      <x:c r="M113" s="59" t="str">
        <x:f>IF(J113="","",IF(K113&gt;=J113,"จ่ายแล้ว",IF(K113&gt;0,"จ่ายบางส่วน","ยังไม่ได้จ่าย")))</x:f>
      </x:c>
      <x:c r="N113" s="22"/>
    </x:row>
    <x:row r="114" ht="21" customHeight="1">
      <x:c r="A114" s="22" t="str">
        <x:v>C19-2</x:v>
      </x:c>
      <x:c r="B114" s="22" t="str">
        <x:v>ภาคกลาง</x:v>
      </x:c>
      <x:c r="C114" s="52"/>
      <x:c r="D114" s="52"/>
      <x:c r="E114" s="52"/>
      <x:c r="F114" s="66"/>
      <x:c r="G114" s="53"/>
      <x:c r="H114" s="53"/>
      <x:c r="I114" s="53"/>
      <x:c r="J114" s="60" t="str">
        <x:f>IF(COUNTA(C114:E114,G114:I114)=0,"",C114*$Q$2+(D114+E114)*$Q$3+G114*$Q$2+(H114+I114)*$Q$3)</x:f>
      </x:c>
      <x:c r="K114" s="61"/>
      <x:c r="L114" s="62" t="str">
        <x:f>IF(J114="","",MAX(J114-IF(K114="",0,K114),0))</x:f>
      </x:c>
      <x:c r="M114" s="59" t="str">
        <x:f>IF(J114="","",IF(K114&gt;=J114,"จ่ายแล้ว",IF(K114&gt;0,"จ่ายบางส่วน","ยังไม่ได้จ่าย")))</x:f>
      </x:c>
      <x:c r="N114" s="22"/>
    </x:row>
    <x:row r="115" ht="21" customHeight="1">
      <x:c r="A115" s="22" t="str">
        <x:v>C19-3</x:v>
      </x:c>
      <x:c r="B115" s="22" t="str">
        <x:v>ภาคกลาง</x:v>
      </x:c>
      <x:c r="C115" s="52"/>
      <x:c r="D115" s="52"/>
      <x:c r="E115" s="52"/>
      <x:c r="F115" s="66"/>
      <x:c r="G115" s="53"/>
      <x:c r="H115" s="53"/>
      <x:c r="I115" s="53"/>
      <x:c r="J115" s="60" t="str">
        <x:f>IF(COUNTA(C115:E115,G115:I115)=0,"",C115*$Q$2+(D115+E115)*$Q$3+G115*$Q$2+(H115+I115)*$Q$3)</x:f>
      </x:c>
      <x:c r="K115" s="61"/>
      <x:c r="L115" s="62" t="str">
        <x:f>IF(J115="","",MAX(J115-IF(K115="",0,K115),0))</x:f>
      </x:c>
      <x:c r="M115" s="59" t="str">
        <x:f>IF(J115="","",IF(K115&gt;=J115,"จ่ายแล้ว",IF(K115&gt;0,"จ่ายบางส่วน","ยังไม่ได้จ่าย")))</x:f>
      </x:c>
      <x:c r="N115" s="22"/>
    </x:row>
    <x:row r="116" ht="21" customHeight="1">
      <x:c r="A116" s="22" t="str">
        <x:v>C19-4</x:v>
      </x:c>
      <x:c r="B116" s="22" t="str">
        <x:v>ภาคกลาง</x:v>
      </x:c>
      <x:c r="C116" s="52"/>
      <x:c r="D116" s="52"/>
      <x:c r="E116" s="52"/>
      <x:c r="F116" s="66"/>
      <x:c r="G116" s="53"/>
      <x:c r="H116" s="53"/>
      <x:c r="I116" s="53"/>
      <x:c r="J116" s="60" t="str">
        <x:f>IF(COUNTA(C116:E116,G116:I116)=0,"",C116*$Q$2+(D116+E116)*$Q$3+G116*$Q$2+(H116+I116)*$Q$3)</x:f>
      </x:c>
      <x:c r="K116" s="61"/>
      <x:c r="L116" s="62" t="str">
        <x:f>IF(J116="","",MAX(J116-IF(K116="",0,K116),0))</x:f>
      </x:c>
      <x:c r="M116" s="59" t="str">
        <x:f>IF(J116="","",IF(K116&gt;=J116,"จ่ายแล้ว",IF(K116&gt;0,"จ่ายบางส่วน","ยังไม่ได้จ่าย")))</x:f>
      </x:c>
      <x:c r="N116" s="22"/>
    </x:row>
    <x:row r="117" ht="21" customHeight="1">
      <x:c r="A117" s="22" t="str">
        <x:v>C19-5</x:v>
      </x:c>
      <x:c r="B117" s="22" t="str">
        <x:v>ภาคกลาง</x:v>
      </x:c>
      <x:c r="C117" s="52"/>
      <x:c r="D117" s="52"/>
      <x:c r="E117" s="52"/>
      <x:c r="F117" s="66"/>
      <x:c r="G117" s="53"/>
      <x:c r="H117" s="53"/>
      <x:c r="I117" s="53"/>
      <x:c r="J117" s="60" t="str">
        <x:f>IF(COUNTA(C117:E117,G117:I117)=0,"",C117*$Q$2+(D117+E117)*$Q$3+G117*$Q$2+(H117+I117)*$Q$3)</x:f>
      </x:c>
      <x:c r="K117" s="61"/>
      <x:c r="L117" s="62" t="str">
        <x:f>IF(J117="","",MAX(J117-IF(K117="",0,K117),0))</x:f>
      </x:c>
      <x:c r="M117" s="59" t="str">
        <x:f>IF(J117="","",IF(K117&gt;=J117,"จ่ายแล้ว",IF(K117&gt;0,"จ่ายบางส่วน","ยังไม่ได้จ่าย")))</x:f>
      </x:c>
      <x:c r="N117" s="22"/>
    </x:row>
    <x:row r="118" ht="21" customHeight="1">
      <x:c r="A118" s="22" t="str">
        <x:v>C19-6</x:v>
      </x:c>
      <x:c r="B118" s="22" t="str">
        <x:v>ภาคกลาง</x:v>
      </x:c>
      <x:c r="C118" s="52"/>
      <x:c r="D118" s="52"/>
      <x:c r="E118" s="52"/>
      <x:c r="F118" s="66"/>
      <x:c r="G118" s="53"/>
      <x:c r="H118" s="53"/>
      <x:c r="I118" s="53"/>
      <x:c r="J118" s="60" t="str">
        <x:f>IF(COUNTA(C118:E118,G118:I118)=0,"",C118*$Q$2+(D118+E118)*$Q$3+G118*$Q$2+(H118+I118)*$Q$3)</x:f>
      </x:c>
      <x:c r="K118" s="61"/>
      <x:c r="L118" s="62" t="str">
        <x:f>IF(J118="","",MAX(J118-IF(K118="",0,K118),0))</x:f>
      </x:c>
      <x:c r="M118" s="59" t="str">
        <x:f>IF(J118="","",IF(K118&gt;=J118,"จ่ายแล้ว",IF(K118&gt;0,"จ่ายบางส่วน","ยังไม่ได้จ่าย")))</x:f>
      </x:c>
      <x:c r="N118" s="22"/>
    </x:row>
    <x:row r="119" ht="21" customHeight="1">
      <x:c r="A119" s="22" t="str">
        <x:v>C20-1</x:v>
      </x:c>
      <x:c r="B119" s="22" t="str">
        <x:v>ภาคกลาง</x:v>
      </x:c>
      <x:c r="C119" s="52"/>
      <x:c r="D119" s="52"/>
      <x:c r="E119" s="52" t="n">
        <x:v>1</x:v>
      </x:c>
      <x:c r="F119" s="66"/>
      <x:c r="G119" s="53"/>
      <x:c r="H119" s="53"/>
      <x:c r="I119" s="53"/>
      <x:c r="J119" s="60" t="n">
        <x:f>IF(COUNTA(C119:E119,G119:I119)=0,"",C119*$Q$2+(D119+E119)*$Q$3+G119*$Q$2+(H119+I119)*$Q$3)</x:f>
        <x:v>60</x:v>
      </x:c>
      <x:c r="K119" s="61" t="n">
        <x:v>0</x:v>
      </x:c>
      <x:c r="L119" s="62" t="n">
        <x:f>IF(J119="","",MAX(J119-IF(K119="",0,K119),0))</x:f>
        <x:v>60</x:v>
      </x:c>
      <x:c r="M119" s="59" t="str">
        <x:f>IF(J119="","",IF(K119&gt;=J119,"จ่ายแล้ว",IF(K119&gt;0,"จ่ายบางส่วน","ยังไม่ได้จ่าย")))</x:f>
        <x:v>ยังไม่ได้จ่าย</x:v>
      </x:c>
      <x:c r="N119" s="22" t="str">
        <x:v>สด</x:v>
      </x:c>
    </x:row>
    <x:row r="120" ht="21" customHeight="1">
      <x:c r="A120" s="22" t="str">
        <x:v>C20-2</x:v>
      </x:c>
      <x:c r="B120" s="22" t="str">
        <x:v>ภาคกลาง</x:v>
      </x:c>
      <x:c r="C120" s="52"/>
      <x:c r="D120" s="52"/>
      <x:c r="E120" s="52" t="n">
        <x:v>1</x:v>
      </x:c>
      <x:c r="F120" s="66"/>
      <x:c r="G120" s="53"/>
      <x:c r="H120" s="53"/>
      <x:c r="I120" s="53"/>
      <x:c r="J120" s="60" t="n">
        <x:f>IF(COUNTA(C120:E120,G120:I120)=0,"",C120*$Q$2+(D120+E120)*$Q$3+G120*$Q$2+(H120+I120)*$Q$3)</x:f>
        <x:v>60</x:v>
      </x:c>
      <x:c r="K120" s="61" t="n">
        <x:v>0</x:v>
      </x:c>
      <x:c r="L120" s="62" t="n">
        <x:f>IF(J120="","",MAX(J120-IF(K120="",0,K120),0))</x:f>
        <x:v>60</x:v>
      </x:c>
      <x:c r="M120" s="59" t="str">
        <x:f>IF(J120="","",IF(K120&gt;=J120,"จ่ายแล้ว",IF(K120&gt;0,"จ่ายบางส่วน","ยังไม่ได้จ่าย")))</x:f>
        <x:v>ยังไม่ได้จ่าย</x:v>
      </x:c>
      <x:c r="N120" s="22" t="str">
        <x:v>โอน</x:v>
      </x:c>
    </x:row>
    <x:row r="121" ht="21" customHeight="1">
      <x:c r="A121" s="22" t="str">
        <x:v>C20-3</x:v>
      </x:c>
      <x:c r="B121" s="22" t="str">
        <x:v>ภาคกลาง</x:v>
      </x:c>
      <x:c r="C121" s="52"/>
      <x:c r="D121" s="52"/>
      <x:c r="E121" s="52"/>
      <x:c r="F121" s="66"/>
      <x:c r="G121" s="53"/>
      <x:c r="H121" s="53"/>
      <x:c r="I121" s="53"/>
      <x:c r="J121" s="60" t="str">
        <x:f>IF(COUNTA(C121:E121,G121:I121)=0,"",C121*$Q$2+(D121+E121)*$Q$3+G121*$Q$2+(H121+I121)*$Q$3)</x:f>
      </x:c>
      <x:c r="K121" s="61"/>
      <x:c r="L121" s="62" t="str">
        <x:f>IF(J121="","",MAX(J121-IF(K121="",0,K121),0))</x:f>
      </x:c>
      <x:c r="M121" s="59" t="str">
        <x:f>IF(J121="","",IF(K121&gt;=J121,"จ่ายแล้ว",IF(K121&gt;0,"จ่ายบางส่วน","ยังไม่ได้จ่าย")))</x:f>
      </x:c>
      <x:c r="N121" s="22"/>
    </x:row>
    <x:row r="122" ht="21" customHeight="1">
      <x:c r="A122" s="22" t="str">
        <x:v>C20-4</x:v>
      </x:c>
      <x:c r="B122" s="22" t="str">
        <x:v>ภาคกลาง</x:v>
      </x:c>
      <x:c r="C122" s="52"/>
      <x:c r="D122" s="52"/>
      <x:c r="E122" s="52" t="n">
        <x:v>2</x:v>
      </x:c>
      <x:c r="F122" s="66"/>
      <x:c r="G122" s="53"/>
      <x:c r="H122" s="53"/>
      <x:c r="I122" s="53"/>
      <x:c r="J122" s="60" t="n">
        <x:f>IF(COUNTA(C122:E122,G122:I122)=0,"",C122*$Q$2+(D122+E122)*$Q$3+G122*$Q$2+(H122+I122)*$Q$3)</x:f>
        <x:v>120</x:v>
      </x:c>
      <x:c r="K122" s="61" t="n">
        <x:v>0</x:v>
      </x:c>
      <x:c r="L122" s="62" t="n">
        <x:f>IF(J122="","",MAX(J122-IF(K122="",0,K122),0))</x:f>
        <x:v>120</x:v>
      </x:c>
      <x:c r="M122" s="59" t="str">
        <x:f>IF(J122="","",IF(K122&gt;=J122,"จ่ายแล้ว",IF(K122&gt;0,"จ่ายบางส่วน","ยังไม่ได้จ่าย")))</x:f>
        <x:v>ยังไม่ได้จ่าย</x:v>
      </x:c>
      <x:c r="N122" s="22" t="str">
        <x:v>สด</x:v>
      </x:c>
    </x:row>
    <x:row r="123" ht="21" customHeight="1">
      <x:c r="A123" s="22" t="str">
        <x:v>C20-5</x:v>
      </x:c>
      <x:c r="B123" s="22" t="str">
        <x:v>ภาคกลาง</x:v>
      </x:c>
      <x:c r="C123" s="52"/>
      <x:c r="D123" s="52"/>
      <x:c r="E123" s="52"/>
      <x:c r="F123" s="66"/>
      <x:c r="G123" s="53"/>
      <x:c r="H123" s="53"/>
      <x:c r="I123" s="53"/>
      <x:c r="J123" s="60" t="str">
        <x:f>IF(COUNTA(C123:E123,G123:I123)=0,"",C123*$Q$2+(D123+E123)*$Q$3+G123*$Q$2+(H123+I123)*$Q$3)</x:f>
      </x:c>
      <x:c r="K123" s="61"/>
      <x:c r="L123" s="62" t="str">
        <x:f>IF(J123="","",MAX(J123-IF(K123="",0,K123),0))</x:f>
      </x:c>
      <x:c r="M123" s="59" t="str">
        <x:f>IF(J123="","",IF(K123&gt;=J123,"จ่ายแล้ว",IF(K123&gt;0,"จ่ายบางส่วน","ยังไม่ได้จ่าย")))</x:f>
      </x:c>
      <x:c r="N123" s="22"/>
    </x:row>
    <x:row r="124" ht="21" customHeight="1">
      <x:c r="A124" s="22" t="str">
        <x:v>C20-6</x:v>
      </x:c>
      <x:c r="B124" s="22" t="str">
        <x:v>ภาคกลาง</x:v>
      </x:c>
      <x:c r="C124" s="52"/>
      <x:c r="D124" s="52"/>
      <x:c r="E124" s="52"/>
      <x:c r="F124" s="66"/>
      <x:c r="G124" s="53"/>
      <x:c r="H124" s="53"/>
      <x:c r="I124" s="53"/>
      <x:c r="J124" s="60" t="str">
        <x:f>IF(COUNTA(C124:E124,G124:I124)=0,"",C124*$Q$2+(D124+E124)*$Q$3+G124*$Q$2+(H124+I124)*$Q$3)</x:f>
      </x:c>
      <x:c r="K124" s="61"/>
      <x:c r="L124" s="62" t="str">
        <x:f>IF(J124="","",MAX(J124-IF(K124="",0,K124),0))</x:f>
      </x:c>
      <x:c r="M124" s="59" t="str">
        <x:f>IF(J124="","",IF(K124&gt;=J124,"จ่ายแล้ว",IF(K124&gt;0,"จ่ายบางส่วน","ยังไม่ได้จ่าย")))</x:f>
      </x:c>
      <x:c r="N124" s="22"/>
    </x:row>
    <x:row r="125" ht="21" customHeight="1">
      <x:c r="A125" s="22" t="str">
        <x:v>C21-1</x:v>
      </x:c>
      <x:c r="B125" s="22" t="str">
        <x:v>ภาคกลาง</x:v>
      </x:c>
      <x:c r="C125" s="52"/>
      <x:c r="D125" s="52"/>
      <x:c r="E125" s="52"/>
      <x:c r="F125" s="66"/>
      <x:c r="G125" s="53"/>
      <x:c r="H125" s="53"/>
      <x:c r="I125" s="53"/>
      <x:c r="J125" s="60" t="str">
        <x:f>IF(COUNTA(C125:E125,G125:I125)=0,"",C125*$Q$2+(D125+E125)*$Q$3+G125*$Q$2+(H125+I125)*$Q$3)</x:f>
      </x:c>
      <x:c r="K125" s="61"/>
      <x:c r="L125" s="62" t="str">
        <x:f>IF(J125="","",MAX(J125-IF(K125="",0,K125),0))</x:f>
      </x:c>
      <x:c r="M125" s="59" t="str">
        <x:f>IF(J125="","",IF(K125&gt;=J125,"จ่ายแล้ว",IF(K125&gt;0,"จ่ายบางส่วน","ยังไม่ได้จ่าย")))</x:f>
      </x:c>
      <x:c r="N125" s="22"/>
    </x:row>
    <x:row r="126" ht="21" customHeight="1">
      <x:c r="A126" s="22" t="str">
        <x:v>C21-2</x:v>
      </x:c>
      <x:c r="B126" s="22" t="str">
        <x:v>ภาคกลาง</x:v>
      </x:c>
      <x:c r="C126" s="52"/>
      <x:c r="D126" s="52"/>
      <x:c r="E126" s="52"/>
      <x:c r="F126" s="66"/>
      <x:c r="G126" s="53"/>
      <x:c r="H126" s="53"/>
      <x:c r="I126" s="53"/>
      <x:c r="J126" s="60" t="str">
        <x:f>IF(COUNTA(C126:E126,G126:I126)=0,"",C126*$Q$2+(D126+E126)*$Q$3+G126*$Q$2+(H126+I126)*$Q$3)</x:f>
      </x:c>
      <x:c r="K126" s="61"/>
      <x:c r="L126" s="62" t="str">
        <x:f>IF(J126="","",MAX(J126-IF(K126="",0,K126),0))</x:f>
      </x:c>
      <x:c r="M126" s="59" t="str">
        <x:f>IF(J126="","",IF(K126&gt;=J126,"จ่ายแล้ว",IF(K126&gt;0,"จ่ายบางส่วน","ยังไม่ได้จ่าย")))</x:f>
      </x:c>
      <x:c r="N126" s="22"/>
    </x:row>
    <x:row r="127" ht="21" customHeight="1">
      <x:c r="A127" s="22" t="str">
        <x:v>C21-3</x:v>
      </x:c>
      <x:c r="B127" s="22" t="str">
        <x:v>ภาคกลาง</x:v>
      </x:c>
      <x:c r="C127" s="52"/>
      <x:c r="D127" s="52"/>
      <x:c r="E127" s="52"/>
      <x:c r="F127" s="66"/>
      <x:c r="G127" s="53"/>
      <x:c r="H127" s="53"/>
      <x:c r="I127" s="53"/>
      <x:c r="J127" s="60" t="str">
        <x:f>IF(COUNTA(C127:E127,G127:I127)=0,"",C127*$Q$2+(D127+E127)*$Q$3+G127*$Q$2+(H127+I127)*$Q$3)</x:f>
      </x:c>
      <x:c r="K127" s="61"/>
      <x:c r="L127" s="62" t="str">
        <x:f>IF(J127="","",MAX(J127-IF(K127="",0,K127),0))</x:f>
      </x:c>
      <x:c r="M127" s="59" t="str">
        <x:f>IF(J127="","",IF(K127&gt;=J127,"จ่ายแล้ว",IF(K127&gt;0,"จ่ายบางส่วน","ยังไม่ได้จ่าย")))</x:f>
      </x:c>
      <x:c r="N127" s="22"/>
    </x:row>
    <x:row r="128" ht="21" customHeight="1">
      <x:c r="A128" s="22" t="str">
        <x:v>C21-4</x:v>
      </x:c>
      <x:c r="B128" s="22" t="str">
        <x:v>ภาคกลาง</x:v>
      </x:c>
      <x:c r="C128" s="52"/>
      <x:c r="D128" s="52"/>
      <x:c r="E128" s="52"/>
      <x:c r="F128" s="66"/>
      <x:c r="G128" s="53"/>
      <x:c r="H128" s="53"/>
      <x:c r="I128" s="53"/>
      <x:c r="J128" s="60" t="str">
        <x:f>IF(COUNTA(C128:E128,G128:I128)=0,"",C128*$Q$2+(D128+E128)*$Q$3+G128*$Q$2+(H128+I128)*$Q$3)</x:f>
      </x:c>
      <x:c r="K128" s="61"/>
      <x:c r="L128" s="62" t="str">
        <x:f>IF(J128="","",MAX(J128-IF(K128="",0,K128),0))</x:f>
      </x:c>
      <x:c r="M128" s="59" t="str">
        <x:f>IF(J128="","",IF(K128&gt;=J128,"จ่ายแล้ว",IF(K128&gt;0,"จ่ายบางส่วน","ยังไม่ได้จ่าย")))</x:f>
      </x:c>
      <x:c r="N128" s="22"/>
    </x:row>
    <x:row r="129" ht="21" customHeight="1">
      <x:c r="A129" s="22" t="str">
        <x:v>C21-5</x:v>
      </x:c>
      <x:c r="B129" s="22" t="str">
        <x:v>ภาคกลาง</x:v>
      </x:c>
      <x:c r="C129" s="52"/>
      <x:c r="D129" s="52"/>
      <x:c r="E129" s="52"/>
      <x:c r="F129" s="66"/>
      <x:c r="G129" s="53"/>
      <x:c r="H129" s="53"/>
      <x:c r="I129" s="53"/>
      <x:c r="J129" s="60" t="str">
        <x:f>IF(COUNTA(C129:E129,G129:I129)=0,"",C129*$Q$2+(D129+E129)*$Q$3+G129*$Q$2+(H129+I129)*$Q$3)</x:f>
      </x:c>
      <x:c r="K129" s="61"/>
      <x:c r="L129" s="62" t="str">
        <x:f>IF(J129="","",MAX(J129-IF(K129="",0,K129),0))</x:f>
      </x:c>
      <x:c r="M129" s="59" t="str">
        <x:f>IF(J129="","",IF(K129&gt;=J129,"จ่ายแล้ว",IF(K129&gt;0,"จ่ายบางส่วน","ยังไม่ได้จ่าย")))</x:f>
      </x:c>
      <x:c r="N129" s="22"/>
    </x:row>
    <x:row r="130" ht="21" customHeight="1">
      <x:c r="A130" s="22" t="str">
        <x:v>C21-6</x:v>
      </x:c>
      <x:c r="B130" s="22" t="str">
        <x:v>ภาคกลาง</x:v>
      </x:c>
      <x:c r="C130" s="52"/>
      <x:c r="D130" s="52"/>
      <x:c r="E130" s="52"/>
      <x:c r="F130" s="66"/>
      <x:c r="G130" s="53"/>
      <x:c r="H130" s="53"/>
      <x:c r="I130" s="53"/>
      <x:c r="J130" s="60" t="str">
        <x:f>IF(COUNTA(C130:E130,G130:I130)=0,"",C130*$Q$2+(D130+E130)*$Q$3+G130*$Q$2+(H130+I130)*$Q$3)</x:f>
      </x:c>
      <x:c r="K130" s="61"/>
      <x:c r="L130" s="62" t="str">
        <x:f>IF(J130="","",MAX(J130-IF(K130="",0,K130),0))</x:f>
      </x:c>
      <x:c r="M130" s="59" t="str">
        <x:f>IF(J130="","",IF(K130&gt;=J130,"จ่ายแล้ว",IF(K130&gt;0,"จ่ายบางส่วน","ยังไม่ได้จ่าย")))</x:f>
      </x:c>
      <x:c r="N130" s="22"/>
    </x:row>
    <x:row r="131" ht="21" customHeight="1">
      <x:c r="A131" s="22" t="str">
        <x:v>C22-1</x:v>
      </x:c>
      <x:c r="B131" s="22" t="str">
        <x:v>ภาคกลาง</x:v>
      </x:c>
      <x:c r="C131" s="52"/>
      <x:c r="D131" s="52"/>
      <x:c r="E131" s="52"/>
      <x:c r="F131" s="66"/>
      <x:c r="G131" s="53"/>
      <x:c r="H131" s="53"/>
      <x:c r="I131" s="53"/>
      <x:c r="J131" s="60" t="str">
        <x:f>IF(COUNTA(C131:E131,G131:I131)=0,"",C131*$Q$2+(D131+E131)*$Q$3+G131*$Q$2+(H131+I131)*$Q$3)</x:f>
      </x:c>
      <x:c r="K131" s="61"/>
      <x:c r="L131" s="62" t="str">
        <x:f>IF(J131="","",MAX(J131-IF(K131="",0,K131),0))</x:f>
      </x:c>
      <x:c r="M131" s="59" t="str">
        <x:f>IF(J131="","",IF(K131&gt;=J131,"จ่ายแล้ว",IF(K131&gt;0,"จ่ายบางส่วน","ยังไม่ได้จ่าย")))</x:f>
      </x:c>
      <x:c r="N131" s="22"/>
    </x:row>
    <x:row r="132" ht="21" customHeight="1">
      <x:c r="A132" s="22" t="str">
        <x:v>C22-2</x:v>
      </x:c>
      <x:c r="B132" s="22" t="str">
        <x:v>ภาคกลาง</x:v>
      </x:c>
      <x:c r="C132" s="52"/>
      <x:c r="D132" s="52"/>
      <x:c r="E132" s="52"/>
      <x:c r="F132" s="66"/>
      <x:c r="G132" s="53"/>
      <x:c r="H132" s="53"/>
      <x:c r="I132" s="53"/>
      <x:c r="J132" s="60" t="str">
        <x:f>IF(COUNTA(C132:E132,G132:I132)=0,"",C132*$Q$2+(D132+E132)*$Q$3+G132*$Q$2+(H132+I132)*$Q$3)</x:f>
      </x:c>
      <x:c r="K132" s="61"/>
      <x:c r="L132" s="62" t="str">
        <x:f>IF(J132="","",MAX(J132-IF(K132="",0,K132),0))</x:f>
      </x:c>
      <x:c r="M132" s="59" t="str">
        <x:f>IF(J132="","",IF(K132&gt;=J132,"จ่ายแล้ว",IF(K132&gt;0,"จ่ายบางส่วน","ยังไม่ได้จ่าย")))</x:f>
      </x:c>
      <x:c r="N132" s="22"/>
    </x:row>
    <x:row r="133" ht="21" customHeight="1">
      <x:c r="A133" s="22" t="str">
        <x:v>C22-3</x:v>
      </x:c>
      <x:c r="B133" s="22" t="str">
        <x:v>ภาคกลาง</x:v>
      </x:c>
      <x:c r="C133" s="52"/>
      <x:c r="D133" s="52"/>
      <x:c r="E133" s="52"/>
      <x:c r="F133" s="66"/>
      <x:c r="G133" s="53"/>
      <x:c r="H133" s="53"/>
      <x:c r="I133" s="53"/>
      <x:c r="J133" s="60" t="str">
        <x:f>IF(COUNTA(C133:E133,G133:I133)=0,"",C133*$Q$2+(D133+E133)*$Q$3+G133*$Q$2+(H133+I133)*$Q$3)</x:f>
      </x:c>
      <x:c r="K133" s="61"/>
      <x:c r="L133" s="62" t="str">
        <x:f>IF(J133="","",MAX(J133-IF(K133="",0,K133),0))</x:f>
      </x:c>
      <x:c r="M133" s="59" t="str">
        <x:f>IF(J133="","",IF(K133&gt;=J133,"จ่ายแล้ว",IF(K133&gt;0,"จ่ายบางส่วน","ยังไม่ได้จ่าย")))</x:f>
      </x:c>
      <x:c r="N133" s="22"/>
    </x:row>
    <x:row r="134" ht="21" customHeight="1">
      <x:c r="A134" s="22" t="str">
        <x:v>C22-4</x:v>
      </x:c>
      <x:c r="B134" s="22" t="str">
        <x:v>ภาคกลาง</x:v>
      </x:c>
      <x:c r="C134" s="52"/>
      <x:c r="D134" s="52"/>
      <x:c r="E134" s="52"/>
      <x:c r="F134" s="66"/>
      <x:c r="G134" s="53"/>
      <x:c r="H134" s="53"/>
      <x:c r="I134" s="53"/>
      <x:c r="J134" s="60" t="str">
        <x:f>IF(COUNTA(C134:E134,G134:I134)=0,"",C134*$Q$2+(D134+E134)*$Q$3+G134*$Q$2+(H134+I134)*$Q$3)</x:f>
      </x:c>
      <x:c r="K134" s="61"/>
      <x:c r="L134" s="62" t="str">
        <x:f>IF(J134="","",MAX(J134-IF(K134="",0,K134),0))</x:f>
      </x:c>
      <x:c r="M134" s="59" t="str">
        <x:f>IF(J134="","",IF(K134&gt;=J134,"จ่ายแล้ว",IF(K134&gt;0,"จ่ายบางส่วน","ยังไม่ได้จ่าย")))</x:f>
      </x:c>
      <x:c r="N134" s="22"/>
    </x:row>
    <x:row r="135" ht="21" customHeight="1">
      <x:c r="A135" s="22" t="str">
        <x:v>C22-5</x:v>
      </x:c>
      <x:c r="B135" s="22" t="str">
        <x:v>ภาคกลาง</x:v>
      </x:c>
      <x:c r="C135" s="52"/>
      <x:c r="D135" s="52"/>
      <x:c r="E135" s="52"/>
      <x:c r="F135" s="66"/>
      <x:c r="G135" s="53"/>
      <x:c r="H135" s="53"/>
      <x:c r="I135" s="53"/>
      <x:c r="J135" s="60" t="str">
        <x:f>IF(COUNTA(C135:E135,G135:I135)=0,"",C135*$Q$2+(D135+E135)*$Q$3+G135*$Q$2+(H135+I135)*$Q$3)</x:f>
      </x:c>
      <x:c r="K135" s="61"/>
      <x:c r="L135" s="62" t="str">
        <x:f>IF(J135="","",MAX(J135-IF(K135="",0,K135),0))</x:f>
      </x:c>
      <x:c r="M135" s="59" t="str">
        <x:f>IF(J135="","",IF(K135&gt;=J135,"จ่ายแล้ว",IF(K135&gt;0,"จ่ายบางส่วน","ยังไม่ได้จ่าย")))</x:f>
      </x:c>
      <x:c r="N135" s="22"/>
    </x:row>
    <x:row r="136" ht="21" customHeight="1">
      <x:c r="A136" s="22" t="str">
        <x:v>C22-6</x:v>
      </x:c>
      <x:c r="B136" s="22" t="str">
        <x:v>ภาคกลาง</x:v>
      </x:c>
      <x:c r="C136" s="52"/>
      <x:c r="D136" s="52"/>
      <x:c r="E136" s="52"/>
      <x:c r="F136" s="66"/>
      <x:c r="G136" s="53"/>
      <x:c r="H136" s="53"/>
      <x:c r="I136" s="53"/>
      <x:c r="J136" s="60" t="str">
        <x:f>IF(COUNTA(C136:E136,G136:I136)=0,"",C136*$Q$2+(D136+E136)*$Q$3+G136*$Q$2+(H136+I136)*$Q$3)</x:f>
      </x:c>
      <x:c r="K136" s="61"/>
      <x:c r="L136" s="62" t="str">
        <x:f>IF(J136="","",MAX(J136-IF(K136="",0,K136),0))</x:f>
      </x:c>
      <x:c r="M136" s="59" t="str">
        <x:f>IF(J136="","",IF(K136&gt;=J136,"จ่ายแล้ว",IF(K136&gt;0,"จ่ายบางส่วน","ยังไม่ได้จ่าย")))</x:f>
      </x:c>
      <x:c r="N136" s="22"/>
    </x:row>
    <x:row r="137" ht="21" customHeight="1">
      <x:c r="A137" s="22" t="str">
        <x:v>C23-1</x:v>
      </x:c>
      <x:c r="B137" s="22" t="str">
        <x:v>ภาคกลาง</x:v>
      </x:c>
      <x:c r="C137" s="52" t="n">
        <x:v>1</x:v>
      </x:c>
      <x:c r="D137" s="52"/>
      <x:c r="E137" s="52" t="n">
        <x:v>1</x:v>
      </x:c>
      <x:c r="F137" s="66"/>
      <x:c r="G137" s="53"/>
      <x:c r="H137" s="53"/>
      <x:c r="I137" s="53"/>
      <x:c r="J137" s="60" t="n">
        <x:f>IF(COUNTA(C137:E137,G137:I137)=0,"",C137*$Q$2+(D137+E137)*$Q$3+G137*$Q$2+(H137+I137)*$Q$3)</x:f>
        <x:v>160</x:v>
      </x:c>
      <x:c r="K137" s="61" t="n">
        <x:v>0</x:v>
      </x:c>
      <x:c r="L137" s="62" t="n">
        <x:f>IF(J137="","",MAX(J137-IF(K137="",0,K137),0))</x:f>
        <x:v>160</x:v>
      </x:c>
      <x:c r="M137" s="59" t="str">
        <x:f>IF(J137="","",IF(K137&gt;=J137,"จ่ายแล้ว",IF(K137&gt;0,"จ่ายบางส่วน","ยังไม่ได้จ่าย")))</x:f>
        <x:v>ยังไม่ได้จ่าย</x:v>
      </x:c>
      <x:c r="N137" s="22" t="str">
        <x:v>สด</x:v>
      </x:c>
    </x:row>
    <x:row r="138" ht="21" customHeight="1">
      <x:c r="A138" s="22" t="str">
        <x:v>C23-2</x:v>
      </x:c>
      <x:c r="B138" s="22" t="str">
        <x:v>ภาคกลาง</x:v>
      </x:c>
      <x:c r="C138" s="52"/>
      <x:c r="D138" s="52"/>
      <x:c r="E138" s="52"/>
      <x:c r="F138" s="66"/>
      <x:c r="G138" s="53"/>
      <x:c r="H138" s="53"/>
      <x:c r="I138" s="53"/>
      <x:c r="J138" s="60" t="str">
        <x:f>IF(COUNTA(C138:E138,G138:I138)=0,"",C138*$Q$2+(D138+E138)*$Q$3+G138*$Q$2+(H138+I138)*$Q$3)</x:f>
      </x:c>
      <x:c r="K138" s="61"/>
      <x:c r="L138" s="62" t="str">
        <x:f>IF(J138="","",MAX(J138-IF(K138="",0,K138),0))</x:f>
      </x:c>
      <x:c r="M138" s="59" t="str">
        <x:f>IF(J138="","",IF(K138&gt;=J138,"จ่ายแล้ว",IF(K138&gt;0,"จ่ายบางส่วน","ยังไม่ได้จ่าย")))</x:f>
      </x:c>
      <x:c r="N138" s="22"/>
    </x:row>
    <x:row r="139" ht="21" customHeight="1">
      <x:c r="A139" s="22" t="str">
        <x:v>C23-3</x:v>
      </x:c>
      <x:c r="B139" s="22" t="str">
        <x:v>ภาคกลาง</x:v>
      </x:c>
      <x:c r="C139" s="52" t="n">
        <x:v>1</x:v>
      </x:c>
      <x:c r="D139" s="52"/>
      <x:c r="E139" s="52" t="n">
        <x:v>1</x:v>
      </x:c>
      <x:c r="F139" s="66"/>
      <x:c r="G139" s="53"/>
      <x:c r="H139" s="53"/>
      <x:c r="I139" s="53"/>
      <x:c r="J139" s="60" t="n">
        <x:f>IF(COUNTA(C139:E139,G139:I139)=0,"",C139*$Q$2+(D139+E139)*$Q$3+G139*$Q$2+(H139+I139)*$Q$3)</x:f>
        <x:v>160</x:v>
      </x:c>
      <x:c r="K139" s="61" t="n">
        <x:v>0</x:v>
      </x:c>
      <x:c r="L139" s="62" t="n">
        <x:f>IF(J139="","",MAX(J139-IF(K139="",0,K139),0))</x:f>
        <x:v>160</x:v>
      </x:c>
      <x:c r="M139" s="59" t="str">
        <x:f>IF(J139="","",IF(K139&gt;=J139,"จ่ายแล้ว",IF(K139&gt;0,"จ่ายบางส่วน","ยังไม่ได้จ่าย")))</x:f>
        <x:v>ยังไม่ได้จ่าย</x:v>
      </x:c>
      <x:c r="N139" s="22" t="str">
        <x:v>สด</x:v>
      </x:c>
    </x:row>
    <x:row r="140" ht="21" customHeight="1">
      <x:c r="A140" s="22" t="str">
        <x:v>C23-4</x:v>
      </x:c>
      <x:c r="B140" s="22" t="str">
        <x:v>ภาคกลาง</x:v>
      </x:c>
      <x:c r="C140" s="52"/>
      <x:c r="D140" s="52"/>
      <x:c r="E140" s="52"/>
      <x:c r="F140" s="66"/>
      <x:c r="G140" s="53"/>
      <x:c r="H140" s="53"/>
      <x:c r="I140" s="53"/>
      <x:c r="J140" s="60" t="str">
        <x:f>IF(COUNTA(C140:E140,G140:I140)=0,"",C140*$Q$2+(D140+E140)*$Q$3+G140*$Q$2+(H140+I140)*$Q$3)</x:f>
      </x:c>
      <x:c r="K140" s="61"/>
      <x:c r="L140" s="62" t="str">
        <x:f>IF(J140="","",MAX(J140-IF(K140="",0,K140),0))</x:f>
      </x:c>
      <x:c r="M140" s="59" t="str">
        <x:f>IF(J140="","",IF(K140&gt;=J140,"จ่ายแล้ว",IF(K140&gt;0,"จ่ายบางส่วน","ยังไม่ได้จ่าย")))</x:f>
      </x:c>
      <x:c r="N140" s="22"/>
    </x:row>
    <x:row r="141" ht="21" customHeight="1">
      <x:c r="A141" s="22" t="str">
        <x:v>C23-5</x:v>
      </x:c>
      <x:c r="B141" s="22" t="str">
        <x:v>ภาคกลาง</x:v>
      </x:c>
      <x:c r="C141" s="52"/>
      <x:c r="D141" s="52"/>
      <x:c r="E141" s="52"/>
      <x:c r="F141" s="66"/>
      <x:c r="G141" s="53"/>
      <x:c r="H141" s="53"/>
      <x:c r="I141" s="53"/>
      <x:c r="J141" s="60" t="str">
        <x:f>IF(COUNTA(C141:E141,G141:I141)=0,"",C141*$Q$2+(D141+E141)*$Q$3+G141*$Q$2+(H141+I141)*$Q$3)</x:f>
      </x:c>
      <x:c r="K141" s="61"/>
      <x:c r="L141" s="62" t="str">
        <x:f>IF(J141="","",MAX(J141-IF(K141="",0,K141),0))</x:f>
      </x:c>
      <x:c r="M141" s="59" t="str">
        <x:f>IF(J141="","",IF(K141&gt;=J141,"จ่ายแล้ว",IF(K141&gt;0,"จ่ายบางส่วน","ยังไม่ได้จ่าย")))</x:f>
      </x:c>
      <x:c r="N141" s="22"/>
    </x:row>
    <x:row r="142" ht="21" customHeight="1">
      <x:c r="A142" s="22" t="str">
        <x:v>C23-6</x:v>
      </x:c>
      <x:c r="B142" s="22" t="str">
        <x:v>ภาคกลาง</x:v>
      </x:c>
      <x:c r="C142" s="52"/>
      <x:c r="D142" s="52"/>
      <x:c r="E142" s="52"/>
      <x:c r="F142" s="66"/>
      <x:c r="G142" s="53"/>
      <x:c r="H142" s="53"/>
      <x:c r="I142" s="53"/>
      <x:c r="J142" s="60" t="str">
        <x:f>IF(COUNTA(C142:E142,G142:I142)=0,"",C142*$Q$2+(D142+E142)*$Q$3+G142*$Q$2+(H142+I142)*$Q$3)</x:f>
      </x:c>
      <x:c r="K142" s="61"/>
      <x:c r="L142" s="62" t="str">
        <x:f>IF(J142="","",MAX(J142-IF(K142="",0,K142),0))</x:f>
      </x:c>
      <x:c r="M142" s="59" t="str">
        <x:f>IF(J142="","",IF(K142&gt;=J142,"จ่ายแล้ว",IF(K142&gt;0,"จ่ายบางส่วน","ยังไม่ได้จ่าย")))</x:f>
      </x:c>
      <x:c r="N142" s="22"/>
    </x:row>
    <x:row r="143" ht="21" customHeight="1">
      <x:c r="A143" s="22" t="str">
        <x:v>C24-1</x:v>
      </x:c>
      <x:c r="B143" s="22" t="str">
        <x:v>ภาคกลาง</x:v>
      </x:c>
      <x:c r="C143" s="52"/>
      <x:c r="D143" s="52"/>
      <x:c r="E143" s="52"/>
      <x:c r="F143" s="66"/>
      <x:c r="G143" s="53"/>
      <x:c r="H143" s="53"/>
      <x:c r="I143" s="53"/>
      <x:c r="J143" s="60" t="str">
        <x:f>IF(COUNTA(C143:E143,G143:I143)=0,"",C143*$Q$2+(D143+E143)*$Q$3+G143*$Q$2+(H143+I143)*$Q$3)</x:f>
      </x:c>
      <x:c r="K143" s="61"/>
      <x:c r="L143" s="62" t="str">
        <x:f>IF(J143="","",MAX(J143-IF(K143="",0,K143),0))</x:f>
      </x:c>
      <x:c r="M143" s="59" t="str">
        <x:f>IF(J143="","",IF(K143&gt;=J143,"จ่ายแล้ว",IF(K143&gt;0,"จ่ายบางส่วน","ยังไม่ได้จ่าย")))</x:f>
      </x:c>
      <x:c r="N143" s="22"/>
    </x:row>
    <x:row r="144" ht="21" customHeight="1">
      <x:c r="A144" s="22" t="str">
        <x:v>C24-2</x:v>
      </x:c>
      <x:c r="B144" s="22" t="str">
        <x:v>ภาคกลาง</x:v>
      </x:c>
      <x:c r="C144" s="52"/>
      <x:c r="D144" s="52"/>
      <x:c r="E144" s="52"/>
      <x:c r="F144" s="66"/>
      <x:c r="G144" s="53"/>
      <x:c r="H144" s="53"/>
      <x:c r="I144" s="53"/>
      <x:c r="J144" s="60" t="str">
        <x:f>IF(COUNTA(C144:E144,G144:I144)=0,"",C144*$Q$2+(D144+E144)*$Q$3+G144*$Q$2+(H144+I144)*$Q$3)</x:f>
      </x:c>
      <x:c r="K144" s="61"/>
      <x:c r="L144" s="62" t="str">
        <x:f>IF(J144="","",MAX(J144-IF(K144="",0,K144),0))</x:f>
      </x:c>
      <x:c r="M144" s="59" t="str">
        <x:f>IF(J144="","",IF(K144&gt;=J144,"จ่ายแล้ว",IF(K144&gt;0,"จ่ายบางส่วน","ยังไม่ได้จ่าย")))</x:f>
      </x:c>
      <x:c r="N144" s="22"/>
    </x:row>
    <x:row r="145" ht="21" customHeight="1">
      <x:c r="A145" s="22" t="str">
        <x:v>C24-3</x:v>
      </x:c>
      <x:c r="B145" s="22" t="str">
        <x:v>ภาคกลาง</x:v>
      </x:c>
      <x:c r="C145" s="52"/>
      <x:c r="D145" s="52"/>
      <x:c r="E145" s="52"/>
      <x:c r="F145" s="66"/>
      <x:c r="G145" s="53"/>
      <x:c r="H145" s="53"/>
      <x:c r="I145" s="53"/>
      <x:c r="J145" s="60" t="str">
        <x:f>IF(COUNTA(C145:E145,G145:I145)=0,"",C145*$Q$2+(D145+E145)*$Q$3+G145*$Q$2+(H145+I145)*$Q$3)</x:f>
      </x:c>
      <x:c r="K145" s="61"/>
      <x:c r="L145" s="62" t="str">
        <x:f>IF(J145="","",MAX(J145-IF(K145="",0,K145),0))</x:f>
      </x:c>
      <x:c r="M145" s="59" t="str">
        <x:f>IF(J145="","",IF(K145&gt;=J145,"จ่ายแล้ว",IF(K145&gt;0,"จ่ายบางส่วน","ยังไม่ได้จ่าย")))</x:f>
      </x:c>
      <x:c r="N145" s="22"/>
    </x:row>
    <x:row r="146" ht="21" customHeight="1">
      <x:c r="A146" s="22" t="str">
        <x:v>C24-4</x:v>
      </x:c>
      <x:c r="B146" s="22" t="str">
        <x:v>ภาคกลาง</x:v>
      </x:c>
      <x:c r="C146" s="52"/>
      <x:c r="D146" s="52"/>
      <x:c r="E146" s="52"/>
      <x:c r="F146" s="66"/>
      <x:c r="G146" s="53"/>
      <x:c r="H146" s="53"/>
      <x:c r="I146" s="53"/>
      <x:c r="J146" s="60" t="str">
        <x:f>IF(COUNTA(C146:E146,G146:I146)=0,"",C146*$Q$2+(D146+E146)*$Q$3+G146*$Q$2+(H146+I146)*$Q$3)</x:f>
      </x:c>
      <x:c r="K146" s="61"/>
      <x:c r="L146" s="62" t="str">
        <x:f>IF(J146="","",MAX(J146-IF(K146="",0,K146),0))</x:f>
      </x:c>
      <x:c r="M146" s="59" t="str">
        <x:f>IF(J146="","",IF(K146&gt;=J146,"จ่ายแล้ว",IF(K146&gt;0,"จ่ายบางส่วน","ยังไม่ได้จ่าย")))</x:f>
      </x:c>
      <x:c r="N146" s="22"/>
    </x:row>
    <x:row r="147" ht="21" customHeight="1">
      <x:c r="A147" s="22" t="str">
        <x:v>C24-5</x:v>
      </x:c>
      <x:c r="B147" s="22" t="str">
        <x:v>ภาคกลาง</x:v>
      </x:c>
      <x:c r="C147" s="52"/>
      <x:c r="D147" s="52"/>
      <x:c r="E147" s="52"/>
      <x:c r="F147" s="66"/>
      <x:c r="G147" s="53"/>
      <x:c r="H147" s="53"/>
      <x:c r="I147" s="53"/>
      <x:c r="J147" s="60" t="str">
        <x:f>IF(COUNTA(C147:E147,G147:I147)=0,"",C147*$Q$2+(D147+E147)*$Q$3+G147*$Q$2+(H147+I147)*$Q$3)</x:f>
      </x:c>
      <x:c r="K147" s="61"/>
      <x:c r="L147" s="62" t="str">
        <x:f>IF(J147="","",MAX(J147-IF(K147="",0,K147),0))</x:f>
      </x:c>
      <x:c r="M147" s="59" t="str">
        <x:f>IF(J147="","",IF(K147&gt;=J147,"จ่ายแล้ว",IF(K147&gt;0,"จ่ายบางส่วน","ยังไม่ได้จ่าย")))</x:f>
      </x:c>
      <x:c r="N147" s="22"/>
    </x:row>
    <x:row r="148" ht="21" customHeight="1">
      <x:c r="A148" s="22" t="str">
        <x:v>C24-6</x:v>
      </x:c>
      <x:c r="B148" s="22" t="str">
        <x:v>ภาคกลาง</x:v>
      </x:c>
      <x:c r="C148" s="52"/>
      <x:c r="D148" s="52"/>
      <x:c r="E148" s="52"/>
      <x:c r="F148" s="66"/>
      <x:c r="G148" s="53"/>
      <x:c r="H148" s="53"/>
      <x:c r="I148" s="53"/>
      <x:c r="J148" s="60" t="str">
        <x:f>IF(COUNTA(C148:E148,G148:I148)=0,"",C148*$Q$2+(D148+E148)*$Q$3+G148*$Q$2+(H148+I148)*$Q$3)</x:f>
      </x:c>
      <x:c r="K148" s="61"/>
      <x:c r="L148" s="62" t="str">
        <x:f>IF(J148="","",MAX(J148-IF(K148="",0,K148),0))</x:f>
      </x:c>
      <x:c r="M148" s="59" t="str">
        <x:f>IF(J148="","",IF(K148&gt;=J148,"จ่ายแล้ว",IF(K148&gt;0,"จ่ายบางส่วน","ยังไม่ได้จ่าย")))</x:f>
      </x:c>
      <x:c r="N148" s="22"/>
    </x:row>
    <x:row r="149" ht="21" customHeight="1">
      <x:c r="A149" s="22" t="str">
        <x:v>C25-1</x:v>
      </x:c>
      <x:c r="B149" s="22" t="str">
        <x:v>ภาคกลาง</x:v>
      </x:c>
      <x:c r="C149" s="52"/>
      <x:c r="D149" s="52"/>
      <x:c r="E149" s="52"/>
      <x:c r="F149" s="66"/>
      <x:c r="G149" s="53"/>
      <x:c r="H149" s="53"/>
      <x:c r="I149" s="53"/>
      <x:c r="J149" s="60" t="str">
        <x:f>IF(COUNTA(C149:E149,G149:I149)=0,"",C149*$Q$2+(D149+E149)*$Q$3+G149*$Q$2+(H149+I149)*$Q$3)</x:f>
      </x:c>
      <x:c r="K149" s="61"/>
      <x:c r="L149" s="62" t="str">
        <x:f>IF(J149="","",MAX(J149-IF(K149="",0,K149),0))</x:f>
      </x:c>
      <x:c r="M149" s="59" t="str">
        <x:f>IF(J149="","",IF(K149&gt;=J149,"จ่ายแล้ว",IF(K149&gt;0,"จ่ายบางส่วน","ยังไม่ได้จ่าย")))</x:f>
      </x:c>
      <x:c r="N149" s="22"/>
    </x:row>
    <x:row r="150" ht="21" customHeight="1">
      <x:c r="A150" s="22" t="str">
        <x:v>C25-2</x:v>
      </x:c>
      <x:c r="B150" s="22" t="str">
        <x:v>ภาคกลาง</x:v>
      </x:c>
      <x:c r="C150" s="52"/>
      <x:c r="D150" s="52"/>
      <x:c r="E150" s="52"/>
      <x:c r="F150" s="66"/>
      <x:c r="G150" s="53"/>
      <x:c r="H150" s="53"/>
      <x:c r="I150" s="53"/>
      <x:c r="J150" s="60" t="str">
        <x:f>IF(COUNTA(C150:E150,G150:I150)=0,"",C150*$Q$2+(D150+E150)*$Q$3+G150*$Q$2+(H150+I150)*$Q$3)</x:f>
      </x:c>
      <x:c r="K150" s="61"/>
      <x:c r="L150" s="62" t="str">
        <x:f>IF(J150="","",MAX(J150-IF(K150="",0,K150),0))</x:f>
      </x:c>
      <x:c r="M150" s="59" t="str">
        <x:f>IF(J150="","",IF(K150&gt;=J150,"จ่ายแล้ว",IF(K150&gt;0,"จ่ายบางส่วน","ยังไม่ได้จ่าย")))</x:f>
      </x:c>
      <x:c r="N150" s="22"/>
    </x:row>
    <x:row r="151" ht="21" customHeight="1">
      <x:c r="A151" s="22" t="str">
        <x:v>C25-3</x:v>
      </x:c>
      <x:c r="B151" s="22" t="str">
        <x:v>ภาคกลาง</x:v>
      </x:c>
      <x:c r="C151" s="52"/>
      <x:c r="D151" s="52"/>
      <x:c r="E151" s="52"/>
      <x:c r="F151" s="66"/>
      <x:c r="G151" s="53"/>
      <x:c r="H151" s="53"/>
      <x:c r="I151" s="53"/>
      <x:c r="J151" s="60" t="str">
        <x:f>IF(COUNTA(C151:E151,G151:I151)=0,"",C151*$Q$2+(D151+E151)*$Q$3+G151*$Q$2+(H151+I151)*$Q$3)</x:f>
      </x:c>
      <x:c r="K151" s="61"/>
      <x:c r="L151" s="62" t="str">
        <x:f>IF(J151="","",MAX(J151-IF(K151="",0,K151),0))</x:f>
      </x:c>
      <x:c r="M151" s="59" t="str">
        <x:f>IF(J151="","",IF(K151&gt;=J151,"จ่ายแล้ว",IF(K151&gt;0,"จ่ายบางส่วน","ยังไม่ได้จ่าย")))</x:f>
      </x:c>
      <x:c r="N151" s="22"/>
    </x:row>
    <x:row r="152" ht="21" customHeight="1">
      <x:c r="A152" s="22" t="str">
        <x:v>C25-4</x:v>
      </x:c>
      <x:c r="B152" s="22" t="str">
        <x:v>ภาคกลาง</x:v>
      </x:c>
      <x:c r="C152" s="52"/>
      <x:c r="D152" s="52"/>
      <x:c r="E152" s="52"/>
      <x:c r="F152" s="66"/>
      <x:c r="G152" s="53"/>
      <x:c r="H152" s="53"/>
      <x:c r="I152" s="53"/>
      <x:c r="J152" s="60" t="str">
        <x:f>IF(COUNTA(C152:E152,G152:I152)=0,"",C152*$Q$2+(D152+E152)*$Q$3+G152*$Q$2+(H152+I152)*$Q$3)</x:f>
      </x:c>
      <x:c r="K152" s="61"/>
      <x:c r="L152" s="62" t="str">
        <x:f>IF(J152="","",MAX(J152-IF(K152="",0,K152),0))</x:f>
      </x:c>
      <x:c r="M152" s="59" t="str">
        <x:f>IF(J152="","",IF(K152&gt;=J152,"จ่ายแล้ว",IF(K152&gt;0,"จ่ายบางส่วน","ยังไม่ได้จ่าย")))</x:f>
      </x:c>
      <x:c r="N152" s="22"/>
    </x:row>
    <x:row r="153" ht="21" customHeight="1">
      <x:c r="A153" s="22" t="str">
        <x:v>C25-5</x:v>
      </x:c>
      <x:c r="B153" s="22" t="str">
        <x:v>ภาคกลาง</x:v>
      </x:c>
      <x:c r="C153" s="52"/>
      <x:c r="D153" s="52"/>
      <x:c r="E153" s="52"/>
      <x:c r="F153" s="66"/>
      <x:c r="G153" s="53"/>
      <x:c r="H153" s="53"/>
      <x:c r="I153" s="53"/>
      <x:c r="J153" s="60" t="str">
        <x:f>IF(COUNTA(C153:E153,G153:I153)=0,"",C153*$Q$2+(D153+E153)*$Q$3+G153*$Q$2+(H153+I153)*$Q$3)</x:f>
      </x:c>
      <x:c r="K153" s="61"/>
      <x:c r="L153" s="62" t="str">
        <x:f>IF(J153="","",MAX(J153-IF(K153="",0,K153),0))</x:f>
      </x:c>
      <x:c r="M153" s="59" t="str">
        <x:f>IF(J153="","",IF(K153&gt;=J153,"จ่ายแล้ว",IF(K153&gt;0,"จ่ายบางส่วน","ยังไม่ได้จ่าย")))</x:f>
      </x:c>
      <x:c r="N153" s="22"/>
    </x:row>
    <x:row r="154" ht="21" customHeight="1">
      <x:c r="A154" s="22" t="str">
        <x:v>C25-6</x:v>
      </x:c>
      <x:c r="B154" s="22" t="str">
        <x:v>ภาคกลาง</x:v>
      </x:c>
      <x:c r="C154" s="52"/>
      <x:c r="D154" s="52"/>
      <x:c r="E154" s="52"/>
      <x:c r="F154" s="66"/>
      <x:c r="G154" s="53"/>
      <x:c r="H154" s="53"/>
      <x:c r="I154" s="53"/>
      <x:c r="J154" s="60" t="str">
        <x:f>IF(COUNTA(C154:E154,G154:I154)=0,"",C154*$Q$2+(D154+E154)*$Q$3+G154*$Q$2+(H154+I154)*$Q$3)</x:f>
      </x:c>
      <x:c r="K154" s="61"/>
      <x:c r="L154" s="62" t="str">
        <x:f>IF(J154="","",MAX(J154-IF(K154="",0,K154),0))</x:f>
      </x:c>
      <x:c r="M154" s="59" t="str">
        <x:f>IF(J154="","",IF(K154&gt;=J154,"จ่ายแล้ว",IF(K154&gt;0,"จ่ายบางส่วน","ยังไม่ได้จ่าย")))</x:f>
      </x:c>
      <x:c r="N154" s="22"/>
    </x:row>
  </x:sheetData>
  <x:mergeCells>
    <x:mergeCell ref="C3:E3"/>
    <x:mergeCell ref="G3:I3"/>
  </x:mergeCells>
  <x:conditionalFormatting sqref="M5:M154">
    <x:cfRule type="containsText" dxfId="7" priority="1" operator="containsText" text="จ่ายแล้ว"/>
    <x:cfRule type="containsText" dxfId="8" priority="2" operator="containsText" text="จ่ายบางส่วน"/>
    <x:cfRule type="containsText" dxfId="9" priority="3" operator="containsText" text="ยังไม่ได้จ่าย"/>
  </x:conditionalFormatting>
  <x:pageMargins left="0.7" right="0.7" top="0.75" bottom="0.75" header="0.3" footer="0.3"/>
  <x:tableParts count="1">
    <x:tablePart xmlns:r="http://schemas.openxmlformats.org/officeDocument/2006/relationships" r:id="R4c2c6f7e629f4b8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9" hidden="0" customWidth="1"/>
    <x:col min="4" max="4" width="9" hidden="0" customWidth="1"/>
    <x:col min="5" max="5" width="9" hidden="0" customWidth="1"/>
    <x:col min="6" max="6" width="3" hidden="0" customWidth="1"/>
    <x:col min="7" max="7" width="9" hidden="0" customWidth="1"/>
    <x:col min="9" max="9" width="9" hidden="0" customWidth="1"/>
    <x:col min="10" max="10" width="17" hidden="0" customWidth="1"/>
    <x:col min="8" max="8" width="9" hidden="0" customWidth="1"/>
    <x:col min="11" max="11" width="14" hidden="0" customWidth="1"/>
    <x:col min="12" max="12" width="14" hidden="0" customWidth="1"/>
    <x:col min="13" max="13" width="16" hidden="0" customWidth="1"/>
    <x:col min="14" max="14" width="42" hidden="0" customWidth="1"/>
    <x:col min="16" max="16" width="24" hidden="0" customWidth="1"/>
    <x:col min="17" max="17" width="12" hidden="0" customWidth="1"/>
  </x:cols>
  <x:sheetData>
    <x:row r="1" ht="20" customHeight="1">
      <x:c r="A1" s="19" t="str">
        <x:v>รหัสบูธ</x:v>
      </x:c>
      <x:c r="B1"/>
      <x:c r="C1"/>
      <x:c r="D1"/>
      <x:c r="E1"/>
      <x:c r="F1"/>
      <x:c r="G1"/>
      <x:c r="H1"/>
      <x:c r="I1"/>
      <x:c r="J1"/>
      <x:c r="P1" s="21" t="str">
        <x:v>ราคาต่อหน่วย</x:v>
      </x:c>
      <x:c r="Q1"/>
    </x:row>
    <x:row r="2">
      <x:c r="A2" s="20" t="str">
        <x:v>แปลน QD อัพเดท 18-9-69.pdf • รหัสบูธ 456 รายการ และชวนชิม 64 คูหา</x:v>
      </x:c>
      <x:c r="B2"/>
      <x:c r="C2"/>
      <x:c r="D2"/>
      <x:c r="E2"/>
      <x:c r="F2"/>
      <x:c r="G2"/>
      <x:c r="H2"/>
      <x:c r="I2"/>
      <x:c r="J2"/>
      <x:c r="P2" s="22" t="str">
        <x:v>ค่าเช่าถัง (บาท)</x:v>
      </x:c>
      <x:c r="Q2" s="69" t="n">
        <x:v>100</x:v>
      </x:c>
    </x:row>
    <x:row r="3" ht="24" customHeight="1">
      <x:c r="A3"/>
      <x:c r="B3"/>
      <x:c r="C3" s="47" t="str">
        <x:v>ยอดวันที่ 27/09/69</x:v>
      </x:c>
      <x:c r="D3" s="47"/>
      <x:c r="E3" s="47"/>
      <x:c r="F3" s="66"/>
      <x:c r="G3" s="47" t="str">
        <x:v>ยอดวันที่ 28/09/69</x:v>
      </x:c>
      <x:c r="H3" s="47"/>
      <x:c r="I3" s="47"/>
      <x:c r="J3"/>
      <x:c r="P3" s="22" t="str">
        <x:v>น้ำแข็ง/กระสอบ (บาท)</x:v>
      </x:c>
      <x:c r="Q3" s="69" t="n">
        <x:v>60</x:v>
      </x:c>
    </x:row>
    <x:row r="4" ht="25" customHeight="1">
      <x:c r="A4" s="49" t="str">
        <x:v>รหัส</x:v>
      </x:c>
      <x:c r="B4" s="49" t="str">
        <x:v>โซน</x:v>
      </x:c>
      <x:c r="C4" s="50" t="str">
        <x:v>ถัง</x:v>
      </x:c>
      <x:c r="D4" s="50" t="str">
        <x:v>เล็ก</x:v>
      </x:c>
      <x:c r="E4" s="50" t="str">
        <x:v>บด</x:v>
      </x:c>
      <x:c r="F4" s="67" t="str">
        <x:v>คั่น</x:v>
      </x:c>
      <x:c r="G4" s="50" t="str">
        <x:v>ถัง</x:v>
      </x:c>
      <x:c r="H4" s="50" t="str">
        <x:v>เล็ก</x:v>
      </x:c>
      <x:c r="I4" s="50" t="str">
        <x:v>บด</x:v>
      </x:c>
      <x:c r="J4" s="50" t="str">
        <x:v>รวมเงิน (บาท)</x:v>
      </x:c>
      <x:c r="K4" s="50" t="str">
        <x:v>ยอดชำระ</x:v>
      </x:c>
      <x:c r="L4" s="50" t="str">
        <x:v>ยอดค้าง</x:v>
      </x:c>
      <x:c r="M4" s="50" t="str">
        <x:v>สถานะ</x:v>
      </x:c>
      <x:c r="N4" s="49" t="str">
        <x:v>หมายเหตุ</x:v>
      </x:c>
    </x:row>
    <x:row r="5" ht="21" customHeight="1">
      <x:c r="A5" s="22" t="str">
        <x:v>N1-1</x:v>
      </x:c>
      <x:c r="B5" s="22" t="str">
        <x:v>ภาคเหนือ</x:v>
      </x:c>
      <x:c r="C5" s="52"/>
      <x:c r="D5" s="52"/>
      <x:c r="E5" s="52"/>
      <x:c r="F5" s="66"/>
      <x:c r="G5" s="53"/>
      <x:c r="H5" s="53"/>
      <x:c r="I5" s="53"/>
      <x:c r="J5" s="60" t="str">
        <x:f>IF(COUNTA(C5:E5,G5:I5)=0,"",C5*$Q$2+(D5+E5)*$Q$3+G5*$Q$2+(H5+I5)*$Q$3)</x:f>
      </x:c>
      <x:c r="K5" s="61"/>
      <x:c r="L5" s="62" t="str">
        <x:f>IF(J5="","",MAX(J5-IF(K5="",0,K5),0))</x:f>
      </x:c>
      <x:c r="M5" s="59" t="str">
        <x:f>IF(J5="","",IF(K5&gt;=J5,"จ่ายแล้ว",IF(K5&gt;0,"จ่ายบางส่วน","ยังไม่ได้จ่าย")))</x:f>
      </x:c>
      <x:c r="N5" s="22"/>
    </x:row>
    <x:row r="6" ht="21" customHeight="1">
      <x:c r="A6" s="22" t="str">
        <x:v>N1-2</x:v>
      </x:c>
      <x:c r="B6" s="22" t="str">
        <x:v>ภาคเหนือ</x:v>
      </x:c>
      <x:c r="C6" s="52"/>
      <x:c r="D6" s="52"/>
      <x:c r="E6" s="52"/>
      <x:c r="F6" s="66"/>
      <x:c r="G6" s="53"/>
      <x:c r="H6" s="53"/>
      <x:c r="I6" s="53"/>
      <x:c r="J6" s="60" t="str">
        <x:f>IF(COUNTA(C6:E6,G6:I6)=0,"",C6*$Q$2+(D6+E6)*$Q$3+G6*$Q$2+(H6+I6)*$Q$3)</x:f>
      </x:c>
      <x:c r="K6" s="61"/>
      <x:c r="L6" s="62" t="str">
        <x:f>IF(J6="","",MAX(J6-IF(K6="",0,K6),0))</x:f>
      </x:c>
      <x:c r="M6" s="59" t="str">
        <x:f>IF(J6="","",IF(K6&gt;=J6,"จ่ายแล้ว",IF(K6&gt;0,"จ่ายบางส่วน","ยังไม่ได้จ่าย")))</x:f>
      </x:c>
      <x:c r="N6" s="22"/>
    </x:row>
    <x:row r="7" ht="21" customHeight="1">
      <x:c r="A7" s="22" t="str">
        <x:v>N1-3</x:v>
      </x:c>
      <x:c r="B7" s="22" t="str">
        <x:v>ภาคเหนือ</x:v>
      </x:c>
      <x:c r="C7" s="52"/>
      <x:c r="D7" s="52"/>
      <x:c r="E7" s="52"/>
      <x:c r="F7" s="66"/>
      <x:c r="G7" s="53"/>
      <x:c r="H7" s="53"/>
      <x:c r="I7" s="53"/>
      <x:c r="J7" s="60" t="str">
        <x:f>IF(COUNTA(C7:E7,G7:I7)=0,"",C7*$Q$2+(D7+E7)*$Q$3+G7*$Q$2+(H7+I7)*$Q$3)</x:f>
      </x:c>
      <x:c r="K7" s="61"/>
      <x:c r="L7" s="62" t="str">
        <x:f>IF(J7="","",MAX(J7-IF(K7="",0,K7),0))</x:f>
      </x:c>
      <x:c r="M7" s="59" t="str">
        <x:f>IF(J7="","",IF(K7&gt;=J7,"จ่ายแล้ว",IF(K7&gt;0,"จ่ายบางส่วน","ยังไม่ได้จ่าย")))</x:f>
      </x:c>
      <x:c r="N7" s="22"/>
    </x:row>
    <x:row r="8" ht="21" customHeight="1">
      <x:c r="A8" s="22" t="str">
        <x:v>N1-4</x:v>
      </x:c>
      <x:c r="B8" s="22" t="str">
        <x:v>ภาคเหนือ</x:v>
      </x:c>
      <x:c r="C8" s="52"/>
      <x:c r="D8" s="52"/>
      <x:c r="E8" s="52"/>
      <x:c r="F8" s="66"/>
      <x:c r="G8" s="53"/>
      <x:c r="H8" s="53"/>
      <x:c r="I8" s="53"/>
      <x:c r="J8" s="60" t="str">
        <x:f>IF(COUNTA(C8:E8,G8:I8)=0,"",C8*$Q$2+(D8+E8)*$Q$3+G8*$Q$2+(H8+I8)*$Q$3)</x:f>
      </x:c>
      <x:c r="K8" s="61"/>
      <x:c r="L8" s="62" t="str">
        <x:f>IF(J8="","",MAX(J8-IF(K8="",0,K8),0))</x:f>
      </x:c>
      <x:c r="M8" s="59" t="str">
        <x:f>IF(J8="","",IF(K8&gt;=J8,"จ่ายแล้ว",IF(K8&gt;0,"จ่ายบางส่วน","ยังไม่ได้จ่าย")))</x:f>
      </x:c>
      <x:c r="N8" s="22"/>
    </x:row>
    <x:row r="9" ht="21" customHeight="1">
      <x:c r="A9" s="22" t="str">
        <x:v>N1-5</x:v>
      </x:c>
      <x:c r="B9" s="22" t="str">
        <x:v>ภาคเหนือ</x:v>
      </x:c>
      <x:c r="C9" s="52"/>
      <x:c r="D9" s="52"/>
      <x:c r="E9" s="52"/>
      <x:c r="F9" s="66"/>
      <x:c r="G9" s="53"/>
      <x:c r="H9" s="53"/>
      <x:c r="I9" s="53"/>
      <x:c r="J9" s="60" t="str">
        <x:f>IF(COUNTA(C9:E9,G9:I9)=0,"",C9*$Q$2+(D9+E9)*$Q$3+G9*$Q$2+(H9+I9)*$Q$3)</x:f>
      </x:c>
      <x:c r="K9" s="61"/>
      <x:c r="L9" s="62" t="str">
        <x:f>IF(J9="","",MAX(J9-IF(K9="",0,K9),0))</x:f>
      </x:c>
      <x:c r="M9" s="59" t="str">
        <x:f>IF(J9="","",IF(K9&gt;=J9,"จ่ายแล้ว",IF(K9&gt;0,"จ่ายบางส่วน","ยังไม่ได้จ่าย")))</x:f>
      </x:c>
      <x:c r="N9" s="22"/>
    </x:row>
    <x:row r="10" ht="21" customHeight="1">
      <x:c r="A10" s="22" t="str">
        <x:v>N1-6</x:v>
      </x:c>
      <x:c r="B10" s="22" t="str">
        <x:v>ภาคเหนือ</x:v>
      </x:c>
      <x:c r="C10" s="52"/>
      <x:c r="D10" s="52"/>
      <x:c r="E10" s="52"/>
      <x:c r="F10" s="66"/>
      <x:c r="G10" s="53"/>
      <x:c r="H10" s="53"/>
      <x:c r="I10" s="53"/>
      <x:c r="J10" s="60" t="str">
        <x:f>IF(COUNTA(C10:E10,G10:I10)=0,"",C10*$Q$2+(D10+E10)*$Q$3+G10*$Q$2+(H10+I10)*$Q$3)</x:f>
      </x:c>
      <x:c r="K10" s="61"/>
      <x:c r="L10" s="62" t="str">
        <x:f>IF(J10="","",MAX(J10-IF(K10="",0,K10),0))</x:f>
      </x:c>
      <x:c r="M10" s="59" t="str">
        <x:f>IF(J10="","",IF(K10&gt;=J10,"จ่ายแล้ว",IF(K10&gt;0,"จ่ายบางส่วน","ยังไม่ได้จ่าย")))</x:f>
      </x:c>
      <x:c r="N10" s="22"/>
    </x:row>
    <x:row r="11" ht="21" customHeight="1">
      <x:c r="A11" s="22" t="str">
        <x:v>N2-1</x:v>
      </x:c>
      <x:c r="B11" s="22" t="str">
        <x:v>ภาคเหนือ</x:v>
      </x:c>
      <x:c r="C11" s="52"/>
      <x:c r="D11" s="52"/>
      <x:c r="E11" s="52"/>
      <x:c r="F11" s="66"/>
      <x:c r="G11" s="53"/>
      <x:c r="H11" s="53"/>
      <x:c r="I11" s="53"/>
      <x:c r="J11" s="60" t="str">
        <x:f>IF(COUNTA(C11:E11,G11:I11)=0,"",C11*$Q$2+(D11+E11)*$Q$3+G11*$Q$2+(H11+I11)*$Q$3)</x:f>
      </x:c>
      <x:c r="K11" s="61"/>
      <x:c r="L11" s="62" t="str">
        <x:f>IF(J11="","",MAX(J11-IF(K11="",0,K11),0))</x:f>
      </x:c>
      <x:c r="M11" s="59" t="str">
        <x:f>IF(J11="","",IF(K11&gt;=J11,"จ่ายแล้ว",IF(K11&gt;0,"จ่ายบางส่วน","ยังไม่ได้จ่าย")))</x:f>
      </x:c>
      <x:c r="N11" s="22"/>
    </x:row>
    <x:row r="12" ht="21" customHeight="1">
      <x:c r="A12" s="22" t="str">
        <x:v>N2-2</x:v>
      </x:c>
      <x:c r="B12" s="22" t="str">
        <x:v>ภาคเหนือ</x:v>
      </x:c>
      <x:c r="C12" s="52"/>
      <x:c r="D12" s="52"/>
      <x:c r="E12" s="52"/>
      <x:c r="F12" s="66"/>
      <x:c r="G12" s="53"/>
      <x:c r="H12" s="53"/>
      <x:c r="I12" s="53"/>
      <x:c r="J12" s="60" t="str">
        <x:f>IF(COUNTA(C12:E12,G12:I12)=0,"",C12*$Q$2+(D12+E12)*$Q$3+G12*$Q$2+(H12+I12)*$Q$3)</x:f>
      </x:c>
      <x:c r="K12" s="61"/>
      <x:c r="L12" s="62" t="str">
        <x:f>IF(J12="","",MAX(J12-IF(K12="",0,K12),0))</x:f>
      </x:c>
      <x:c r="M12" s="59" t="str">
        <x:f>IF(J12="","",IF(K12&gt;=J12,"จ่ายแล้ว",IF(K12&gt;0,"จ่ายบางส่วน","ยังไม่ได้จ่าย")))</x:f>
      </x:c>
      <x:c r="N12" s="22"/>
    </x:row>
    <x:row r="13" ht="21" customHeight="1">
      <x:c r="A13" s="22" t="str">
        <x:v>N2-3</x:v>
      </x:c>
      <x:c r="B13" s="22" t="str">
        <x:v>ภาคเหนือ</x:v>
      </x:c>
      <x:c r="C13" s="52"/>
      <x:c r="D13" s="52"/>
      <x:c r="E13" s="52"/>
      <x:c r="F13" s="66"/>
      <x:c r="G13" s="53"/>
      <x:c r="H13" s="53"/>
      <x:c r="I13" s="53"/>
      <x:c r="J13" s="60" t="str">
        <x:f>IF(COUNTA(C13:E13,G13:I13)=0,"",C13*$Q$2+(D13+E13)*$Q$3+G13*$Q$2+(H13+I13)*$Q$3)</x:f>
      </x:c>
      <x:c r="K13" s="61"/>
      <x:c r="L13" s="62" t="str">
        <x:f>IF(J13="","",MAX(J13-IF(K13="",0,K13),0))</x:f>
      </x:c>
      <x:c r="M13" s="59" t="str">
        <x:f>IF(J13="","",IF(K13&gt;=J13,"จ่ายแล้ว",IF(K13&gt;0,"จ่ายบางส่วน","ยังไม่ได้จ่าย")))</x:f>
      </x:c>
      <x:c r="N13" s="22"/>
    </x:row>
    <x:row r="14" ht="21" customHeight="1">
      <x:c r="A14" s="22" t="str">
        <x:v>N2-4</x:v>
      </x:c>
      <x:c r="B14" s="22" t="str">
        <x:v>ภาคเหนือ</x:v>
      </x:c>
      <x:c r="C14" s="52"/>
      <x:c r="D14" s="52"/>
      <x:c r="E14" s="52"/>
      <x:c r="F14" s="66"/>
      <x:c r="G14" s="53"/>
      <x:c r="H14" s="53"/>
      <x:c r="I14" s="53"/>
      <x:c r="J14" s="60" t="str">
        <x:f>IF(COUNTA(C14:E14,G14:I14)=0,"",C14*$Q$2+(D14+E14)*$Q$3+G14*$Q$2+(H14+I14)*$Q$3)</x:f>
      </x:c>
      <x:c r="K14" s="61"/>
      <x:c r="L14" s="62" t="str">
        <x:f>IF(J14="","",MAX(J14-IF(K14="",0,K14),0))</x:f>
      </x:c>
      <x:c r="M14" s="59" t="str">
        <x:f>IF(J14="","",IF(K14&gt;=J14,"จ่ายแล้ว",IF(K14&gt;0,"จ่ายบางส่วน","ยังไม่ได้จ่าย")))</x:f>
      </x:c>
      <x:c r="N14" s="22"/>
    </x:row>
    <x:row r="15" ht="21" customHeight="1">
      <x:c r="A15" s="22" t="str">
        <x:v>N2-5</x:v>
      </x:c>
      <x:c r="B15" s="22" t="str">
        <x:v>ภาคเหนือ</x:v>
      </x:c>
      <x:c r="C15" s="52"/>
      <x:c r="D15" s="52"/>
      <x:c r="E15" s="52"/>
      <x:c r="F15" s="66"/>
      <x:c r="G15" s="53"/>
      <x:c r="H15" s="53"/>
      <x:c r="I15" s="53"/>
      <x:c r="J15" s="60" t="str">
        <x:f>IF(COUNTA(C15:E15,G15:I15)=0,"",C15*$Q$2+(D15+E15)*$Q$3+G15*$Q$2+(H15+I15)*$Q$3)</x:f>
      </x:c>
      <x:c r="K15" s="61"/>
      <x:c r="L15" s="62" t="str">
        <x:f>IF(J15="","",MAX(J15-IF(K15="",0,K15),0))</x:f>
      </x:c>
      <x:c r="M15" s="59" t="str">
        <x:f>IF(J15="","",IF(K15&gt;=J15,"จ่ายแล้ว",IF(K15&gt;0,"จ่ายบางส่วน","ยังไม่ได้จ่าย")))</x:f>
      </x:c>
      <x:c r="N15" s="22"/>
    </x:row>
    <x:row r="16" ht="21" customHeight="1">
      <x:c r="A16" s="22" t="str">
        <x:v>N2-6</x:v>
      </x:c>
      <x:c r="B16" s="22" t="str">
        <x:v>ภาคเหนือ</x:v>
      </x:c>
      <x:c r="C16" s="52"/>
      <x:c r="D16" s="52"/>
      <x:c r="E16" s="52"/>
      <x:c r="F16" s="66"/>
      <x:c r="G16" s="53"/>
      <x:c r="H16" s="53"/>
      <x:c r="I16" s="53"/>
      <x:c r="J16" s="60" t="str">
        <x:f>IF(COUNTA(C16:E16,G16:I16)=0,"",C16*$Q$2+(D16+E16)*$Q$3+G16*$Q$2+(H16+I16)*$Q$3)</x:f>
      </x:c>
      <x:c r="K16" s="61"/>
      <x:c r="L16" s="62" t="str">
        <x:f>IF(J16="","",MAX(J16-IF(K16="",0,K16),0))</x:f>
      </x:c>
      <x:c r="M16" s="59" t="str">
        <x:f>IF(J16="","",IF(K16&gt;=J16,"จ่ายแล้ว",IF(K16&gt;0,"จ่ายบางส่วน","ยังไม่ได้จ่าย")))</x:f>
      </x:c>
      <x:c r="N16" s="22"/>
    </x:row>
    <x:row r="17" ht="21" customHeight="1">
      <x:c r="A17" s="22" t="str">
        <x:v>N3-1</x:v>
      </x:c>
      <x:c r="B17" s="22" t="str">
        <x:v>ภาคเหนือ</x:v>
      </x:c>
      <x:c r="C17" s="52"/>
      <x:c r="D17" s="52"/>
      <x:c r="E17" s="52"/>
      <x:c r="F17" s="66"/>
      <x:c r="G17" s="53"/>
      <x:c r="H17" s="53"/>
      <x:c r="I17" s="53"/>
      <x:c r="J17" s="60" t="str">
        <x:f>IF(COUNTA(C17:E17,G17:I17)=0,"",C17*$Q$2+(D17+E17)*$Q$3+G17*$Q$2+(H17+I17)*$Q$3)</x:f>
      </x:c>
      <x:c r="K17" s="61"/>
      <x:c r="L17" s="62" t="str">
        <x:f>IF(J17="","",MAX(J17-IF(K17="",0,K17),0))</x:f>
      </x:c>
      <x:c r="M17" s="59" t="str">
        <x:f>IF(J17="","",IF(K17&gt;=J17,"จ่ายแล้ว",IF(K17&gt;0,"จ่ายบางส่วน","ยังไม่ได้จ่าย")))</x:f>
      </x:c>
      <x:c r="N17" s="22"/>
    </x:row>
    <x:row r="18" ht="21" customHeight="1">
      <x:c r="A18" s="22" t="str">
        <x:v>N3-2</x:v>
      </x:c>
      <x:c r="B18" s="22" t="str">
        <x:v>ภาคเหนือ</x:v>
      </x:c>
      <x:c r="C18" s="52"/>
      <x:c r="D18" s="52"/>
      <x:c r="E18" s="52"/>
      <x:c r="F18" s="66"/>
      <x:c r="G18" s="53"/>
      <x:c r="H18" s="53"/>
      <x:c r="I18" s="53"/>
      <x:c r="J18" s="60" t="str">
        <x:f>IF(COUNTA(C18:E18,G18:I18)=0,"",C18*$Q$2+(D18+E18)*$Q$3+G18*$Q$2+(H18+I18)*$Q$3)</x:f>
      </x:c>
      <x:c r="K18" s="61"/>
      <x:c r="L18" s="62" t="str">
        <x:f>IF(J18="","",MAX(J18-IF(K18="",0,K18),0))</x:f>
      </x:c>
      <x:c r="M18" s="59" t="str">
        <x:f>IF(J18="","",IF(K18&gt;=J18,"จ่ายแล้ว",IF(K18&gt;0,"จ่ายบางส่วน","ยังไม่ได้จ่าย")))</x:f>
      </x:c>
      <x:c r="N18" s="22"/>
    </x:row>
    <x:row r="19" ht="21" customHeight="1">
      <x:c r="A19" s="22" t="str">
        <x:v>N3-3</x:v>
      </x:c>
      <x:c r="B19" s="22" t="str">
        <x:v>ภาคเหนือ</x:v>
      </x:c>
      <x:c r="C19" s="52"/>
      <x:c r="D19" s="52"/>
      <x:c r="E19" s="52"/>
      <x:c r="F19" s="66"/>
      <x:c r="G19" s="53"/>
      <x:c r="H19" s="53"/>
      <x:c r="I19" s="53"/>
      <x:c r="J19" s="60" t="str">
        <x:f>IF(COUNTA(C19:E19,G19:I19)=0,"",C19*$Q$2+(D19+E19)*$Q$3+G19*$Q$2+(H19+I19)*$Q$3)</x:f>
      </x:c>
      <x:c r="K19" s="61"/>
      <x:c r="L19" s="62" t="str">
        <x:f>IF(J19="","",MAX(J19-IF(K19="",0,K19),0))</x:f>
      </x:c>
      <x:c r="M19" s="59" t="str">
        <x:f>IF(J19="","",IF(K19&gt;=J19,"จ่ายแล้ว",IF(K19&gt;0,"จ่ายบางส่วน","ยังไม่ได้จ่าย")))</x:f>
      </x:c>
      <x:c r="N19" s="22"/>
    </x:row>
    <x:row r="20" ht="21" customHeight="1">
      <x:c r="A20" s="22" t="str">
        <x:v>N3-4</x:v>
      </x:c>
      <x:c r="B20" s="22" t="str">
        <x:v>ภาคเหนือ</x:v>
      </x:c>
      <x:c r="C20" s="52"/>
      <x:c r="D20" s="52"/>
      <x:c r="E20" s="52"/>
      <x:c r="F20" s="66"/>
      <x:c r="G20" s="53"/>
      <x:c r="H20" s="53"/>
      <x:c r="I20" s="53"/>
      <x:c r="J20" s="60" t="str">
        <x:f>IF(COUNTA(C20:E20,G20:I20)=0,"",C20*$Q$2+(D20+E20)*$Q$3+G20*$Q$2+(H20+I20)*$Q$3)</x:f>
      </x:c>
      <x:c r="K20" s="61"/>
      <x:c r="L20" s="62" t="str">
        <x:f>IF(J20="","",MAX(J20-IF(K20="",0,K20),0))</x:f>
      </x:c>
      <x:c r="M20" s="59" t="str">
        <x:f>IF(J20="","",IF(K20&gt;=J20,"จ่ายแล้ว",IF(K20&gt;0,"จ่ายบางส่วน","ยังไม่ได้จ่าย")))</x:f>
      </x:c>
      <x:c r="N20" s="22"/>
    </x:row>
    <x:row r="21" ht="21" customHeight="1">
      <x:c r="A21" s="22" t="str">
        <x:v>N3-5</x:v>
      </x:c>
      <x:c r="B21" s="22" t="str">
        <x:v>ภาคเหนือ</x:v>
      </x:c>
      <x:c r="C21" s="52"/>
      <x:c r="D21" s="52"/>
      <x:c r="E21" s="52"/>
      <x:c r="F21" s="66"/>
      <x:c r="G21" s="53"/>
      <x:c r="H21" s="53"/>
      <x:c r="I21" s="53"/>
      <x:c r="J21" s="60" t="str">
        <x:f>IF(COUNTA(C21:E21,G21:I21)=0,"",C21*$Q$2+(D21+E21)*$Q$3+G21*$Q$2+(H21+I21)*$Q$3)</x:f>
      </x:c>
      <x:c r="K21" s="61"/>
      <x:c r="L21" s="62" t="str">
        <x:f>IF(J21="","",MAX(J21-IF(K21="",0,K21),0))</x:f>
      </x:c>
      <x:c r="M21" s="59" t="str">
        <x:f>IF(J21="","",IF(K21&gt;=J21,"จ่ายแล้ว",IF(K21&gt;0,"จ่ายบางส่วน","ยังไม่ได้จ่าย")))</x:f>
      </x:c>
      <x:c r="N21" s="22"/>
    </x:row>
    <x:row r="22" ht="21" customHeight="1">
      <x:c r="A22" s="22" t="str">
        <x:v>N3-6</x:v>
      </x:c>
      <x:c r="B22" s="22" t="str">
        <x:v>ภาคเหนือ</x:v>
      </x:c>
      <x:c r="C22" s="52"/>
      <x:c r="D22" s="52"/>
      <x:c r="E22" s="52"/>
      <x:c r="F22" s="66"/>
      <x:c r="G22" s="53"/>
      <x:c r="H22" s="53"/>
      <x:c r="I22" s="53"/>
      <x:c r="J22" s="60" t="str">
        <x:f>IF(COUNTA(C22:E22,G22:I22)=0,"",C22*$Q$2+(D22+E22)*$Q$3+G22*$Q$2+(H22+I22)*$Q$3)</x:f>
      </x:c>
      <x:c r="K22" s="61"/>
      <x:c r="L22" s="62" t="str">
        <x:f>IF(J22="","",MAX(J22-IF(K22="",0,K22),0))</x:f>
      </x:c>
      <x:c r="M22" s="59" t="str">
        <x:f>IF(J22="","",IF(K22&gt;=J22,"จ่ายแล้ว",IF(K22&gt;0,"จ่ายบางส่วน","ยังไม่ได้จ่าย")))</x:f>
      </x:c>
      <x:c r="N22" s="22"/>
    </x:row>
    <x:row r="23" ht="21" customHeight="1">
      <x:c r="A23" s="22" t="str">
        <x:v>N4-1</x:v>
      </x:c>
      <x:c r="B23" s="22" t="str">
        <x:v>ภาคเหนือ</x:v>
      </x:c>
      <x:c r="C23" s="52"/>
      <x:c r="D23" s="52"/>
      <x:c r="E23" s="52"/>
      <x:c r="F23" s="66"/>
      <x:c r="G23" s="53"/>
      <x:c r="H23" s="53"/>
      <x:c r="I23" s="53"/>
      <x:c r="J23" s="60" t="str">
        <x:f>IF(COUNTA(C23:E23,G23:I23)=0,"",C23*$Q$2+(D23+E23)*$Q$3+G23*$Q$2+(H23+I23)*$Q$3)</x:f>
      </x:c>
      <x:c r="K23" s="61"/>
      <x:c r="L23" s="62" t="str">
        <x:f>IF(J23="","",MAX(J23-IF(K23="",0,K23),0))</x:f>
      </x:c>
      <x:c r="M23" s="59" t="str">
        <x:f>IF(J23="","",IF(K23&gt;=J23,"จ่ายแล้ว",IF(K23&gt;0,"จ่ายบางส่วน","ยังไม่ได้จ่าย")))</x:f>
      </x:c>
      <x:c r="N23" s="22"/>
    </x:row>
    <x:row r="24" ht="21" customHeight="1">
      <x:c r="A24" s="22" t="str">
        <x:v>N4-2</x:v>
      </x:c>
      <x:c r="B24" s="22" t="str">
        <x:v>ภาคเหนือ</x:v>
      </x:c>
      <x:c r="C24" s="52"/>
      <x:c r="D24" s="52"/>
      <x:c r="E24" s="52"/>
      <x:c r="F24" s="66"/>
      <x:c r="G24" s="53"/>
      <x:c r="H24" s="53"/>
      <x:c r="I24" s="53"/>
      <x:c r="J24" s="60" t="str">
        <x:f>IF(COUNTA(C24:E24,G24:I24)=0,"",C24*$Q$2+(D24+E24)*$Q$3+G24*$Q$2+(H24+I24)*$Q$3)</x:f>
      </x:c>
      <x:c r="K24" s="61"/>
      <x:c r="L24" s="62" t="str">
        <x:f>IF(J24="","",MAX(J24-IF(K24="",0,K24),0))</x:f>
      </x:c>
      <x:c r="M24" s="59" t="str">
        <x:f>IF(J24="","",IF(K24&gt;=J24,"จ่ายแล้ว",IF(K24&gt;0,"จ่ายบางส่วน","ยังไม่ได้จ่าย")))</x:f>
      </x:c>
      <x:c r="N24" s="22"/>
    </x:row>
    <x:row r="25" ht="21" customHeight="1">
      <x:c r="A25" s="22" t="str">
        <x:v>N4-3</x:v>
      </x:c>
      <x:c r="B25" s="22" t="str">
        <x:v>ภาคเหนือ</x:v>
      </x:c>
      <x:c r="C25" s="52"/>
      <x:c r="D25" s="52"/>
      <x:c r="E25" s="52"/>
      <x:c r="F25" s="66"/>
      <x:c r="G25" s="53"/>
      <x:c r="H25" s="53"/>
      <x:c r="I25" s="53"/>
      <x:c r="J25" s="60" t="str">
        <x:f>IF(COUNTA(C25:E25,G25:I25)=0,"",C25*$Q$2+(D25+E25)*$Q$3+G25*$Q$2+(H25+I25)*$Q$3)</x:f>
      </x:c>
      <x:c r="K25" s="61"/>
      <x:c r="L25" s="62" t="str">
        <x:f>IF(J25="","",MAX(J25-IF(K25="",0,K25),0))</x:f>
      </x:c>
      <x:c r="M25" s="59" t="str">
        <x:f>IF(J25="","",IF(K25&gt;=J25,"จ่ายแล้ว",IF(K25&gt;0,"จ่ายบางส่วน","ยังไม่ได้จ่าย")))</x:f>
      </x:c>
      <x:c r="N25" s="22"/>
    </x:row>
    <x:row r="26" ht="21" customHeight="1">
      <x:c r="A26" s="22" t="str">
        <x:v>N4-4</x:v>
      </x:c>
      <x:c r="B26" s="22" t="str">
        <x:v>ภาคเหนือ</x:v>
      </x:c>
      <x:c r="C26" s="52"/>
      <x:c r="D26" s="52"/>
      <x:c r="E26" s="52"/>
      <x:c r="F26" s="66"/>
      <x:c r="G26" s="53"/>
      <x:c r="H26" s="53"/>
      <x:c r="I26" s="53"/>
      <x:c r="J26" s="60" t="str">
        <x:f>IF(COUNTA(C26:E26,G26:I26)=0,"",C26*$Q$2+(D26+E26)*$Q$3+G26*$Q$2+(H26+I26)*$Q$3)</x:f>
      </x:c>
      <x:c r="K26" s="61"/>
      <x:c r="L26" s="62" t="str">
        <x:f>IF(J26="","",MAX(J26-IF(K26="",0,K26),0))</x:f>
      </x:c>
      <x:c r="M26" s="59" t="str">
        <x:f>IF(J26="","",IF(K26&gt;=J26,"จ่ายแล้ว",IF(K26&gt;0,"จ่ายบางส่วน","ยังไม่ได้จ่าย")))</x:f>
      </x:c>
      <x:c r="N26" s="22"/>
    </x:row>
    <x:row r="27" ht="21" customHeight="1">
      <x:c r="A27" s="22" t="str">
        <x:v>N4-5</x:v>
      </x:c>
      <x:c r="B27" s="22" t="str">
        <x:v>ภาคเหนือ</x:v>
      </x:c>
      <x:c r="C27" s="52"/>
      <x:c r="D27" s="52"/>
      <x:c r="E27" s="52"/>
      <x:c r="F27" s="66"/>
      <x:c r="G27" s="53"/>
      <x:c r="H27" s="53"/>
      <x:c r="I27" s="53"/>
      <x:c r="J27" s="60" t="str">
        <x:f>IF(COUNTA(C27:E27,G27:I27)=0,"",C27*$Q$2+(D27+E27)*$Q$3+G27*$Q$2+(H27+I27)*$Q$3)</x:f>
      </x:c>
      <x:c r="K27" s="61"/>
      <x:c r="L27" s="62" t="str">
        <x:f>IF(J27="","",MAX(J27-IF(K27="",0,K27),0))</x:f>
      </x:c>
      <x:c r="M27" s="59" t="str">
        <x:f>IF(J27="","",IF(K27&gt;=J27,"จ่ายแล้ว",IF(K27&gt;0,"จ่ายบางส่วน","ยังไม่ได้จ่าย")))</x:f>
      </x:c>
      <x:c r="N27" s="22"/>
    </x:row>
    <x:row r="28" ht="21" customHeight="1">
      <x:c r="A28" s="22" t="str">
        <x:v>N4-6</x:v>
      </x:c>
      <x:c r="B28" s="22" t="str">
        <x:v>ภาคเหนือ</x:v>
      </x:c>
      <x:c r="C28" s="52"/>
      <x:c r="D28" s="52"/>
      <x:c r="E28" s="52"/>
      <x:c r="F28" s="66"/>
      <x:c r="G28" s="53"/>
      <x:c r="H28" s="53"/>
      <x:c r="I28" s="53"/>
      <x:c r="J28" s="60" t="str">
        <x:f>IF(COUNTA(C28:E28,G28:I28)=0,"",C28*$Q$2+(D28+E28)*$Q$3+G28*$Q$2+(H28+I28)*$Q$3)</x:f>
      </x:c>
      <x:c r="K28" s="61"/>
      <x:c r="L28" s="62" t="str">
        <x:f>IF(J28="","",MAX(J28-IF(K28="",0,K28),0))</x:f>
      </x:c>
      <x:c r="M28" s="59" t="str">
        <x:f>IF(J28="","",IF(K28&gt;=J28,"จ่ายแล้ว",IF(K28&gt;0,"จ่ายบางส่วน","ยังไม่ได้จ่าย")))</x:f>
      </x:c>
      <x:c r="N28" s="22"/>
    </x:row>
    <x:row r="29" ht="21" customHeight="1">
      <x:c r="A29" s="22" t="str">
        <x:v>N5-1</x:v>
      </x:c>
      <x:c r="B29" s="22" t="str">
        <x:v>ภาคเหนือ</x:v>
      </x:c>
      <x:c r="C29" s="52"/>
      <x:c r="D29" s="52"/>
      <x:c r="E29" s="52"/>
      <x:c r="F29" s="66"/>
      <x:c r="G29" s="53"/>
      <x:c r="H29" s="53"/>
      <x:c r="I29" s="53"/>
      <x:c r="J29" s="60" t="str">
        <x:f>IF(COUNTA(C29:E29,G29:I29)=0,"",C29*$Q$2+(D29+E29)*$Q$3+G29*$Q$2+(H29+I29)*$Q$3)</x:f>
      </x:c>
      <x:c r="K29" s="61"/>
      <x:c r="L29" s="62" t="str">
        <x:f>IF(J29="","",MAX(J29-IF(K29="",0,K29),0))</x:f>
      </x:c>
      <x:c r="M29" s="59" t="str">
        <x:f>IF(J29="","",IF(K29&gt;=J29,"จ่ายแล้ว",IF(K29&gt;0,"จ่ายบางส่วน","ยังไม่ได้จ่าย")))</x:f>
      </x:c>
      <x:c r="N29" s="22"/>
    </x:row>
    <x:row r="30" ht="21" customHeight="1">
      <x:c r="A30" s="22" t="str">
        <x:v>N5-2</x:v>
      </x:c>
      <x:c r="B30" s="22" t="str">
        <x:v>ภาคเหนือ</x:v>
      </x:c>
      <x:c r="C30" s="52"/>
      <x:c r="D30" s="52"/>
      <x:c r="E30" s="52"/>
      <x:c r="F30" s="66"/>
      <x:c r="G30" s="53"/>
      <x:c r="H30" s="53"/>
      <x:c r="I30" s="53"/>
      <x:c r="J30" s="60" t="str">
        <x:f>IF(COUNTA(C30:E30,G30:I30)=0,"",C30*$Q$2+(D30+E30)*$Q$3+G30*$Q$2+(H30+I30)*$Q$3)</x:f>
      </x:c>
      <x:c r="K30" s="61"/>
      <x:c r="L30" s="62" t="str">
        <x:f>IF(J30="","",MAX(J30-IF(K30="",0,K30),0))</x:f>
      </x:c>
      <x:c r="M30" s="59" t="str">
        <x:f>IF(J30="","",IF(K30&gt;=J30,"จ่ายแล้ว",IF(K30&gt;0,"จ่ายบางส่วน","ยังไม่ได้จ่าย")))</x:f>
      </x:c>
      <x:c r="N30" s="22"/>
    </x:row>
    <x:row r="31" ht="21" customHeight="1">
      <x:c r="A31" s="22" t="str">
        <x:v>N5-3</x:v>
      </x:c>
      <x:c r="B31" s="22" t="str">
        <x:v>ภาคเหนือ</x:v>
      </x:c>
      <x:c r="C31" s="52"/>
      <x:c r="D31" s="52"/>
      <x:c r="E31" s="52"/>
      <x:c r="F31" s="66"/>
      <x:c r="G31" s="53"/>
      <x:c r="H31" s="53"/>
      <x:c r="I31" s="53"/>
      <x:c r="J31" s="60" t="str">
        <x:f>IF(COUNTA(C31:E31,G31:I31)=0,"",C31*$Q$2+(D31+E31)*$Q$3+G31*$Q$2+(H31+I31)*$Q$3)</x:f>
      </x:c>
      <x:c r="K31" s="61"/>
      <x:c r="L31" s="62" t="str">
        <x:f>IF(J31="","",MAX(J31-IF(K31="",0,K31),0))</x:f>
      </x:c>
      <x:c r="M31" s="59" t="str">
        <x:f>IF(J31="","",IF(K31&gt;=J31,"จ่ายแล้ว",IF(K31&gt;0,"จ่ายบางส่วน","ยังไม่ได้จ่าย")))</x:f>
      </x:c>
      <x:c r="N31" s="22"/>
    </x:row>
    <x:row r="32" ht="21" customHeight="1">
      <x:c r="A32" s="22" t="str">
        <x:v>N5-4</x:v>
      </x:c>
      <x:c r="B32" s="22" t="str">
        <x:v>ภาคเหนือ</x:v>
      </x:c>
      <x:c r="C32" s="52"/>
      <x:c r="D32" s="52"/>
      <x:c r="E32" s="52"/>
      <x:c r="F32" s="66"/>
      <x:c r="G32" s="53"/>
      <x:c r="H32" s="53"/>
      <x:c r="I32" s="53"/>
      <x:c r="J32" s="60" t="str">
        <x:f>IF(COUNTA(C32:E32,G32:I32)=0,"",C32*$Q$2+(D32+E32)*$Q$3+G32*$Q$2+(H32+I32)*$Q$3)</x:f>
      </x:c>
      <x:c r="K32" s="61"/>
      <x:c r="L32" s="62" t="str">
        <x:f>IF(J32="","",MAX(J32-IF(K32="",0,K32),0))</x:f>
      </x:c>
      <x:c r="M32" s="59" t="str">
        <x:f>IF(J32="","",IF(K32&gt;=J32,"จ่ายแล้ว",IF(K32&gt;0,"จ่ายบางส่วน","ยังไม่ได้จ่าย")))</x:f>
      </x:c>
      <x:c r="N32" s="22"/>
    </x:row>
    <x:row r="33" ht="21" customHeight="1">
      <x:c r="A33" s="22" t="str">
        <x:v>N5-5</x:v>
      </x:c>
      <x:c r="B33" s="22" t="str">
        <x:v>ภาคเหนือ</x:v>
      </x:c>
      <x:c r="C33" s="52"/>
      <x:c r="D33" s="52"/>
      <x:c r="E33" s="52"/>
      <x:c r="F33" s="66"/>
      <x:c r="G33" s="53"/>
      <x:c r="H33" s="53"/>
      <x:c r="I33" s="53"/>
      <x:c r="J33" s="60" t="str">
        <x:f>IF(COUNTA(C33:E33,G33:I33)=0,"",C33*$Q$2+(D33+E33)*$Q$3+G33*$Q$2+(H33+I33)*$Q$3)</x:f>
      </x:c>
      <x:c r="K33" s="61"/>
      <x:c r="L33" s="62" t="str">
        <x:f>IF(J33="","",MAX(J33-IF(K33="",0,K33),0))</x:f>
      </x:c>
      <x:c r="M33" s="59" t="str">
        <x:f>IF(J33="","",IF(K33&gt;=J33,"จ่ายแล้ว",IF(K33&gt;0,"จ่ายบางส่วน","ยังไม่ได้จ่าย")))</x:f>
      </x:c>
      <x:c r="N33" s="22"/>
    </x:row>
    <x:row r="34" ht="21" customHeight="1">
      <x:c r="A34" s="22" t="str">
        <x:v>N5-6</x:v>
      </x:c>
      <x:c r="B34" s="22" t="str">
        <x:v>ภาคเหนือ</x:v>
      </x:c>
      <x:c r="C34" s="52"/>
      <x:c r="D34" s="52"/>
      <x:c r="E34" s="52"/>
      <x:c r="F34" s="66"/>
      <x:c r="G34" s="53"/>
      <x:c r="H34" s="53"/>
      <x:c r="I34" s="53"/>
      <x:c r="J34" s="60" t="str">
        <x:f>IF(COUNTA(C34:E34,G34:I34)=0,"",C34*$Q$2+(D34+E34)*$Q$3+G34*$Q$2+(H34+I34)*$Q$3)</x:f>
      </x:c>
      <x:c r="K34" s="61"/>
      <x:c r="L34" s="62" t="str">
        <x:f>IF(J34="","",MAX(J34-IF(K34="",0,K34),0))</x:f>
      </x:c>
      <x:c r="M34" s="59" t="str">
        <x:f>IF(J34="","",IF(K34&gt;=J34,"จ่ายแล้ว",IF(K34&gt;0,"จ่ายบางส่วน","ยังไม่ได้จ่าย")))</x:f>
      </x:c>
      <x:c r="N34" s="22"/>
    </x:row>
    <x:row r="35" ht="21" customHeight="1">
      <x:c r="A35" s="22" t="str">
        <x:v>N6-1</x:v>
      </x:c>
      <x:c r="B35" s="22" t="str">
        <x:v>ภาคเหนือ</x:v>
      </x:c>
      <x:c r="C35" s="52"/>
      <x:c r="D35" s="52"/>
      <x:c r="E35" s="52"/>
      <x:c r="F35" s="66"/>
      <x:c r="G35" s="53"/>
      <x:c r="H35" s="53"/>
      <x:c r="I35" s="53"/>
      <x:c r="J35" s="60" t="str">
        <x:f>IF(COUNTA(C35:E35,G35:I35)=0,"",C35*$Q$2+(D35+E35)*$Q$3+G35*$Q$2+(H35+I35)*$Q$3)</x:f>
      </x:c>
      <x:c r="K35" s="61"/>
      <x:c r="L35" s="62" t="str">
        <x:f>IF(J35="","",MAX(J35-IF(K35="",0,K35),0))</x:f>
      </x:c>
      <x:c r="M35" s="59" t="str">
        <x:f>IF(J35="","",IF(K35&gt;=J35,"จ่ายแล้ว",IF(K35&gt;0,"จ่ายบางส่วน","ยังไม่ได้จ่าย")))</x:f>
      </x:c>
      <x:c r="N35" s="22"/>
    </x:row>
    <x:row r="36" ht="21" customHeight="1">
      <x:c r="A36" s="22" t="str">
        <x:v>N6-2</x:v>
      </x:c>
      <x:c r="B36" s="22" t="str">
        <x:v>ภาคเหนือ</x:v>
      </x:c>
      <x:c r="C36" s="52"/>
      <x:c r="D36" s="52"/>
      <x:c r="E36" s="52"/>
      <x:c r="F36" s="66"/>
      <x:c r="G36" s="53"/>
      <x:c r="H36" s="53"/>
      <x:c r="I36" s="53"/>
      <x:c r="J36" s="60" t="str">
        <x:f>IF(COUNTA(C36:E36,G36:I36)=0,"",C36*$Q$2+(D36+E36)*$Q$3+G36*$Q$2+(H36+I36)*$Q$3)</x:f>
      </x:c>
      <x:c r="K36" s="61"/>
      <x:c r="L36" s="62" t="str">
        <x:f>IF(J36="","",MAX(J36-IF(K36="",0,K36),0))</x:f>
      </x:c>
      <x:c r="M36" s="59" t="str">
        <x:f>IF(J36="","",IF(K36&gt;=J36,"จ่ายแล้ว",IF(K36&gt;0,"จ่ายบางส่วน","ยังไม่ได้จ่าย")))</x:f>
      </x:c>
      <x:c r="N36" s="22"/>
    </x:row>
    <x:row r="37" ht="21" customHeight="1">
      <x:c r="A37" s="22" t="str">
        <x:v>N6-3</x:v>
      </x:c>
      <x:c r="B37" s="22" t="str">
        <x:v>ภาคเหนือ</x:v>
      </x:c>
      <x:c r="C37" s="52"/>
      <x:c r="D37" s="52"/>
      <x:c r="E37" s="52"/>
      <x:c r="F37" s="66"/>
      <x:c r="G37" s="53"/>
      <x:c r="H37" s="53"/>
      <x:c r="I37" s="53"/>
      <x:c r="J37" s="60" t="str">
        <x:f>IF(COUNTA(C37:E37,G37:I37)=0,"",C37*$Q$2+(D37+E37)*$Q$3+G37*$Q$2+(H37+I37)*$Q$3)</x:f>
      </x:c>
      <x:c r="K37" s="61"/>
      <x:c r="L37" s="62" t="str">
        <x:f>IF(J37="","",MAX(J37-IF(K37="",0,K37),0))</x:f>
      </x:c>
      <x:c r="M37" s="59" t="str">
        <x:f>IF(J37="","",IF(K37&gt;=J37,"จ่ายแล้ว",IF(K37&gt;0,"จ่ายบางส่วน","ยังไม่ได้จ่าย")))</x:f>
      </x:c>
      <x:c r="N37" s="22"/>
    </x:row>
    <x:row r="38" ht="21" customHeight="1">
      <x:c r="A38" s="22" t="str">
        <x:v>N6-4</x:v>
      </x:c>
      <x:c r="B38" s="22" t="str">
        <x:v>ภาคเหนือ</x:v>
      </x:c>
      <x:c r="C38" s="52"/>
      <x:c r="D38" s="52"/>
      <x:c r="E38" s="52"/>
      <x:c r="F38" s="66"/>
      <x:c r="G38" s="53"/>
      <x:c r="H38" s="53"/>
      <x:c r="I38" s="53"/>
      <x:c r="J38" s="60" t="str">
        <x:f>IF(COUNTA(C38:E38,G38:I38)=0,"",C38*$Q$2+(D38+E38)*$Q$3+G38*$Q$2+(H38+I38)*$Q$3)</x:f>
      </x:c>
      <x:c r="K38" s="61"/>
      <x:c r="L38" s="62" t="str">
        <x:f>IF(J38="","",MAX(J38-IF(K38="",0,K38),0))</x:f>
      </x:c>
      <x:c r="M38" s="59" t="str">
        <x:f>IF(J38="","",IF(K38&gt;=J38,"จ่ายแล้ว",IF(K38&gt;0,"จ่ายบางส่วน","ยังไม่ได้จ่าย")))</x:f>
      </x:c>
      <x:c r="N38" s="22"/>
    </x:row>
    <x:row r="39" ht="21" customHeight="1">
      <x:c r="A39" s="22" t="str">
        <x:v>N6-5</x:v>
      </x:c>
      <x:c r="B39" s="22" t="str">
        <x:v>ภาคเหนือ</x:v>
      </x:c>
      <x:c r="C39" s="52"/>
      <x:c r="D39" s="52"/>
      <x:c r="E39" s="52"/>
      <x:c r="F39" s="66"/>
      <x:c r="G39" s="53"/>
      <x:c r="H39" s="53"/>
      <x:c r="I39" s="53"/>
      <x:c r="J39" s="60" t="str">
        <x:f>IF(COUNTA(C39:E39,G39:I39)=0,"",C39*$Q$2+(D39+E39)*$Q$3+G39*$Q$2+(H39+I39)*$Q$3)</x:f>
      </x:c>
      <x:c r="K39" s="61"/>
      <x:c r="L39" s="62" t="str">
        <x:f>IF(J39="","",MAX(J39-IF(K39="",0,K39),0))</x:f>
      </x:c>
      <x:c r="M39" s="59" t="str">
        <x:f>IF(J39="","",IF(K39&gt;=J39,"จ่ายแล้ว",IF(K39&gt;0,"จ่ายบางส่วน","ยังไม่ได้จ่าย")))</x:f>
      </x:c>
      <x:c r="N39" s="22"/>
    </x:row>
    <x:row r="40" ht="21" customHeight="1">
      <x:c r="A40" s="22" t="str">
        <x:v>N6-6</x:v>
      </x:c>
      <x:c r="B40" s="22" t="str">
        <x:v>ภาคเหนือ</x:v>
      </x:c>
      <x:c r="C40" s="52"/>
      <x:c r="D40" s="52"/>
      <x:c r="E40" s="52"/>
      <x:c r="F40" s="66"/>
      <x:c r="G40" s="53"/>
      <x:c r="H40" s="53"/>
      <x:c r="I40" s="53"/>
      <x:c r="J40" s="60" t="str">
        <x:f>IF(COUNTA(C40:E40,G40:I40)=0,"",C40*$Q$2+(D40+E40)*$Q$3+G40*$Q$2+(H40+I40)*$Q$3)</x:f>
      </x:c>
      <x:c r="K40" s="61"/>
      <x:c r="L40" s="62" t="str">
        <x:f>IF(J40="","",MAX(J40-IF(K40="",0,K40),0))</x:f>
      </x:c>
      <x:c r="M40" s="59" t="str">
        <x:f>IF(J40="","",IF(K40&gt;=J40,"จ่ายแล้ว",IF(K40&gt;0,"จ่ายบางส่วน","ยังไม่ได้จ่าย")))</x:f>
      </x:c>
      <x:c r="N40" s="22"/>
    </x:row>
    <x:row r="41" ht="21" customHeight="1">
      <x:c r="A41" s="22" t="str">
        <x:v>N7-1</x:v>
      </x:c>
      <x:c r="B41" s="22" t="str">
        <x:v>ภาคเหนือ</x:v>
      </x:c>
      <x:c r="C41" s="52"/>
      <x:c r="D41" s="52"/>
      <x:c r="E41" s="52"/>
      <x:c r="F41" s="66"/>
      <x:c r="G41" s="53"/>
      <x:c r="H41" s="53"/>
      <x:c r="I41" s="53"/>
      <x:c r="J41" s="60" t="str">
        <x:f>IF(COUNTA(C41:E41,G41:I41)=0,"",C41*$Q$2+(D41+E41)*$Q$3+G41*$Q$2+(H41+I41)*$Q$3)</x:f>
      </x:c>
      <x:c r="K41" s="61"/>
      <x:c r="L41" s="62" t="str">
        <x:f>IF(J41="","",MAX(J41-IF(K41="",0,K41),0))</x:f>
      </x:c>
      <x:c r="M41" s="59" t="str">
        <x:f>IF(J41="","",IF(K41&gt;=J41,"จ่ายแล้ว",IF(K41&gt;0,"จ่ายบางส่วน","ยังไม่ได้จ่าย")))</x:f>
      </x:c>
      <x:c r="N41" s="22"/>
    </x:row>
    <x:row r="42" ht="21" customHeight="1">
      <x:c r="A42" s="22" t="str">
        <x:v>N7-2</x:v>
      </x:c>
      <x:c r="B42" s="22" t="str">
        <x:v>ภาคเหนือ</x:v>
      </x:c>
      <x:c r="C42" s="52"/>
      <x:c r="D42" s="52"/>
      <x:c r="E42" s="52"/>
      <x:c r="F42" s="66"/>
      <x:c r="G42" s="53"/>
      <x:c r="H42" s="53"/>
      <x:c r="I42" s="53"/>
      <x:c r="J42" s="60" t="str">
        <x:f>IF(COUNTA(C42:E42,G42:I42)=0,"",C42*$Q$2+(D42+E42)*$Q$3+G42*$Q$2+(H42+I42)*$Q$3)</x:f>
      </x:c>
      <x:c r="K42" s="61"/>
      <x:c r="L42" s="62" t="str">
        <x:f>IF(J42="","",MAX(J42-IF(K42="",0,K42),0))</x:f>
      </x:c>
      <x:c r="M42" s="59" t="str">
        <x:f>IF(J42="","",IF(K42&gt;=J42,"จ่ายแล้ว",IF(K42&gt;0,"จ่ายบางส่วน","ยังไม่ได้จ่าย")))</x:f>
      </x:c>
      <x:c r="N42" s="22"/>
    </x:row>
    <x:row r="43" ht="21" customHeight="1">
      <x:c r="A43" s="22" t="str">
        <x:v>N7-3</x:v>
      </x:c>
      <x:c r="B43" s="22" t="str">
        <x:v>ภาคเหนือ</x:v>
      </x:c>
      <x:c r="C43" s="52"/>
      <x:c r="D43" s="52"/>
      <x:c r="E43" s="52"/>
      <x:c r="F43" s="66"/>
      <x:c r="G43" s="53"/>
      <x:c r="H43" s="53"/>
      <x:c r="I43" s="53"/>
      <x:c r="J43" s="60" t="str">
        <x:f>IF(COUNTA(C43:E43,G43:I43)=0,"",C43*$Q$2+(D43+E43)*$Q$3+G43*$Q$2+(H43+I43)*$Q$3)</x:f>
      </x:c>
      <x:c r="K43" s="61"/>
      <x:c r="L43" s="62" t="str">
        <x:f>IF(J43="","",MAX(J43-IF(K43="",0,K43),0))</x:f>
      </x:c>
      <x:c r="M43" s="59" t="str">
        <x:f>IF(J43="","",IF(K43&gt;=J43,"จ่ายแล้ว",IF(K43&gt;0,"จ่ายบางส่วน","ยังไม่ได้จ่าย")))</x:f>
      </x:c>
      <x:c r="N43" s="22"/>
    </x:row>
    <x:row r="44" ht="21" customHeight="1">
      <x:c r="A44" s="22" t="str">
        <x:v>N7-4</x:v>
      </x:c>
      <x:c r="B44" s="22" t="str">
        <x:v>ภาคเหนือ</x:v>
      </x:c>
      <x:c r="C44" s="52"/>
      <x:c r="D44" s="52"/>
      <x:c r="E44" s="52"/>
      <x:c r="F44" s="66"/>
      <x:c r="G44" s="53"/>
      <x:c r="H44" s="53"/>
      <x:c r="I44" s="53"/>
      <x:c r="J44" s="60" t="str">
        <x:f>IF(COUNTA(C44:E44,G44:I44)=0,"",C44*$Q$2+(D44+E44)*$Q$3+G44*$Q$2+(H44+I44)*$Q$3)</x:f>
      </x:c>
      <x:c r="K44" s="61"/>
      <x:c r="L44" s="62" t="str">
        <x:f>IF(J44="","",MAX(J44-IF(K44="",0,K44),0))</x:f>
      </x:c>
      <x:c r="M44" s="59" t="str">
        <x:f>IF(J44="","",IF(K44&gt;=J44,"จ่ายแล้ว",IF(K44&gt;0,"จ่ายบางส่วน","ยังไม่ได้จ่าย")))</x:f>
      </x:c>
      <x:c r="N44" s="22"/>
    </x:row>
    <x:row r="45" ht="21" customHeight="1">
      <x:c r="A45" s="22" t="str">
        <x:v>N7-5</x:v>
      </x:c>
      <x:c r="B45" s="22" t="str">
        <x:v>ภาคเหนือ</x:v>
      </x:c>
      <x:c r="C45" s="52"/>
      <x:c r="D45" s="52"/>
      <x:c r="E45" s="52"/>
      <x:c r="F45" s="66"/>
      <x:c r="G45" s="53"/>
      <x:c r="H45" s="53"/>
      <x:c r="I45" s="53"/>
      <x:c r="J45" s="60" t="str">
        <x:f>IF(COUNTA(C45:E45,G45:I45)=0,"",C45*$Q$2+(D45+E45)*$Q$3+G45*$Q$2+(H45+I45)*$Q$3)</x:f>
      </x:c>
      <x:c r="K45" s="61"/>
      <x:c r="L45" s="62" t="str">
        <x:f>IF(J45="","",MAX(J45-IF(K45="",0,K45),0))</x:f>
      </x:c>
      <x:c r="M45" s="59" t="str">
        <x:f>IF(J45="","",IF(K45&gt;=J45,"จ่ายแล้ว",IF(K45&gt;0,"จ่ายบางส่วน","ยังไม่ได้จ่าย")))</x:f>
      </x:c>
      <x:c r="N45" s="22"/>
    </x:row>
    <x:row r="46" ht="21" customHeight="1">
      <x:c r="A46" s="22" t="str">
        <x:v>N7-6</x:v>
      </x:c>
      <x:c r="B46" s="22" t="str">
        <x:v>ภาคเหนือ</x:v>
      </x:c>
      <x:c r="C46" s="52"/>
      <x:c r="D46" s="52"/>
      <x:c r="E46" s="52"/>
      <x:c r="F46" s="66"/>
      <x:c r="G46" s="53"/>
      <x:c r="H46" s="53"/>
      <x:c r="I46" s="53"/>
      <x:c r="J46" s="60" t="str">
        <x:f>IF(COUNTA(C46:E46,G46:I46)=0,"",C46*$Q$2+(D46+E46)*$Q$3+G46*$Q$2+(H46+I46)*$Q$3)</x:f>
      </x:c>
      <x:c r="K46" s="61"/>
      <x:c r="L46" s="62" t="str">
        <x:f>IF(J46="","",MAX(J46-IF(K46="",0,K46),0))</x:f>
      </x:c>
      <x:c r="M46" s="59" t="str">
        <x:f>IF(J46="","",IF(K46&gt;=J46,"จ่ายแล้ว",IF(K46&gt;0,"จ่ายบางส่วน","ยังไม่ได้จ่าย")))</x:f>
      </x:c>
      <x:c r="N46" s="22"/>
    </x:row>
    <x:row r="47" ht="21" customHeight="1">
      <x:c r="A47" s="22" t="str">
        <x:v>N8-1</x:v>
      </x:c>
      <x:c r="B47" s="22" t="str">
        <x:v>ภาคเหนือ</x:v>
      </x:c>
      <x:c r="C47" s="52"/>
      <x:c r="D47" s="52"/>
      <x:c r="E47" s="52"/>
      <x:c r="F47" s="66"/>
      <x:c r="G47" s="53"/>
      <x:c r="H47" s="53"/>
      <x:c r="I47" s="53"/>
      <x:c r="J47" s="60" t="str">
        <x:f>IF(COUNTA(C47:E47,G47:I47)=0,"",C47*$Q$2+(D47+E47)*$Q$3+G47*$Q$2+(H47+I47)*$Q$3)</x:f>
      </x:c>
      <x:c r="K47" s="61"/>
      <x:c r="L47" s="62" t="str">
        <x:f>IF(J47="","",MAX(J47-IF(K47="",0,K47),0))</x:f>
      </x:c>
      <x:c r="M47" s="59" t="str">
        <x:f>IF(J47="","",IF(K47&gt;=J47,"จ่ายแล้ว",IF(K47&gt;0,"จ่ายบางส่วน","ยังไม่ได้จ่าย")))</x:f>
      </x:c>
      <x:c r="N47" s="22"/>
    </x:row>
    <x:row r="48" ht="21" customHeight="1">
      <x:c r="A48" s="22" t="str">
        <x:v>N8-2</x:v>
      </x:c>
      <x:c r="B48" s="22" t="str">
        <x:v>ภาคเหนือ</x:v>
      </x:c>
      <x:c r="C48" s="52"/>
      <x:c r="D48" s="52"/>
      <x:c r="E48" s="52"/>
      <x:c r="F48" s="66"/>
      <x:c r="G48" s="53"/>
      <x:c r="H48" s="53"/>
      <x:c r="I48" s="53"/>
      <x:c r="J48" s="60" t="str">
        <x:f>IF(COUNTA(C48:E48,G48:I48)=0,"",C48*$Q$2+(D48+E48)*$Q$3+G48*$Q$2+(H48+I48)*$Q$3)</x:f>
      </x:c>
      <x:c r="K48" s="61"/>
      <x:c r="L48" s="62" t="str">
        <x:f>IF(J48="","",MAX(J48-IF(K48="",0,K48),0))</x:f>
      </x:c>
      <x:c r="M48" s="59" t="str">
        <x:f>IF(J48="","",IF(K48&gt;=J48,"จ่ายแล้ว",IF(K48&gt;0,"จ่ายบางส่วน","ยังไม่ได้จ่าย")))</x:f>
      </x:c>
      <x:c r="N48" s="22"/>
    </x:row>
    <x:row r="49" ht="21" customHeight="1">
      <x:c r="A49" s="22" t="str">
        <x:v>N8-3</x:v>
      </x:c>
      <x:c r="B49" s="22" t="str">
        <x:v>ภาคเหนือ</x:v>
      </x:c>
      <x:c r="C49" s="52"/>
      <x:c r="D49" s="52"/>
      <x:c r="E49" s="52"/>
      <x:c r="F49" s="66"/>
      <x:c r="G49" s="53"/>
      <x:c r="H49" s="53"/>
      <x:c r="I49" s="53"/>
      <x:c r="J49" s="60" t="str">
        <x:f>IF(COUNTA(C49:E49,G49:I49)=0,"",C49*$Q$2+(D49+E49)*$Q$3+G49*$Q$2+(H49+I49)*$Q$3)</x:f>
      </x:c>
      <x:c r="K49" s="61"/>
      <x:c r="L49" s="62" t="str">
        <x:f>IF(J49="","",MAX(J49-IF(K49="",0,K49),0))</x:f>
      </x:c>
      <x:c r="M49" s="59" t="str">
        <x:f>IF(J49="","",IF(K49&gt;=J49,"จ่ายแล้ว",IF(K49&gt;0,"จ่ายบางส่วน","ยังไม่ได้จ่าย")))</x:f>
      </x:c>
      <x:c r="N49" s="22"/>
    </x:row>
    <x:row r="50" ht="21" customHeight="1">
      <x:c r="A50" s="22" t="str">
        <x:v>N8-4</x:v>
      </x:c>
      <x:c r="B50" s="22" t="str">
        <x:v>ภาคเหนือ</x:v>
      </x:c>
      <x:c r="C50" s="52"/>
      <x:c r="D50" s="52"/>
      <x:c r="E50" s="52"/>
      <x:c r="F50" s="66"/>
      <x:c r="G50" s="53"/>
      <x:c r="H50" s="53"/>
      <x:c r="I50" s="53"/>
      <x:c r="J50" s="60" t="str">
        <x:f>IF(COUNTA(C50:E50,G50:I50)=0,"",C50*$Q$2+(D50+E50)*$Q$3+G50*$Q$2+(H50+I50)*$Q$3)</x:f>
      </x:c>
      <x:c r="K50" s="61"/>
      <x:c r="L50" s="62" t="str">
        <x:f>IF(J50="","",MAX(J50-IF(K50="",0,K50),0))</x:f>
      </x:c>
      <x:c r="M50" s="59" t="str">
        <x:f>IF(J50="","",IF(K50&gt;=J50,"จ่ายแล้ว",IF(K50&gt;0,"จ่ายบางส่วน","ยังไม่ได้จ่าย")))</x:f>
      </x:c>
      <x:c r="N50" s="22"/>
    </x:row>
    <x:row r="51" ht="21" customHeight="1">
      <x:c r="A51" s="22" t="str">
        <x:v>N8-5</x:v>
      </x:c>
      <x:c r="B51" s="22" t="str">
        <x:v>ภาคเหนือ</x:v>
      </x:c>
      <x:c r="C51" s="52"/>
      <x:c r="D51" s="52"/>
      <x:c r="E51" s="52"/>
      <x:c r="F51" s="66"/>
      <x:c r="G51" s="53"/>
      <x:c r="H51" s="53"/>
      <x:c r="I51" s="53"/>
      <x:c r="J51" s="60" t="str">
        <x:f>IF(COUNTA(C51:E51,G51:I51)=0,"",C51*$Q$2+(D51+E51)*$Q$3+G51*$Q$2+(H51+I51)*$Q$3)</x:f>
      </x:c>
      <x:c r="K51" s="61"/>
      <x:c r="L51" s="62" t="str">
        <x:f>IF(J51="","",MAX(J51-IF(K51="",0,K51),0))</x:f>
      </x:c>
      <x:c r="M51" s="59" t="str">
        <x:f>IF(J51="","",IF(K51&gt;=J51,"จ่ายแล้ว",IF(K51&gt;0,"จ่ายบางส่วน","ยังไม่ได้จ่าย")))</x:f>
      </x:c>
      <x:c r="N51" s="22"/>
    </x:row>
    <x:row r="52" ht="21" customHeight="1">
      <x:c r="A52" s="22" t="str">
        <x:v>N8-6</x:v>
      </x:c>
      <x:c r="B52" s="22" t="str">
        <x:v>ภาคเหนือ</x:v>
      </x:c>
      <x:c r="C52" s="52"/>
      <x:c r="D52" s="52"/>
      <x:c r="E52" s="52"/>
      <x:c r="F52" s="66"/>
      <x:c r="G52" s="53"/>
      <x:c r="H52" s="53"/>
      <x:c r="I52" s="53"/>
      <x:c r="J52" s="60" t="str">
        <x:f>IF(COUNTA(C52:E52,G52:I52)=0,"",C52*$Q$2+(D52+E52)*$Q$3+G52*$Q$2+(H52+I52)*$Q$3)</x:f>
      </x:c>
      <x:c r="K52" s="61"/>
      <x:c r="L52" s="62" t="str">
        <x:f>IF(J52="","",MAX(J52-IF(K52="",0,K52),0))</x:f>
      </x:c>
      <x:c r="M52" s="59" t="str">
        <x:f>IF(J52="","",IF(K52&gt;=J52,"จ่ายแล้ว",IF(K52&gt;0,"จ่ายบางส่วน","ยังไม่ได้จ่าย")))</x:f>
      </x:c>
      <x:c r="N52" s="22"/>
    </x:row>
    <x:row r="53" ht="21" customHeight="1">
      <x:c r="A53" s="22" t="str">
        <x:v>N9-1</x:v>
      </x:c>
      <x:c r="B53" s="22" t="str">
        <x:v>ภาคเหนือ</x:v>
      </x:c>
      <x:c r="C53" s="52"/>
      <x:c r="D53" s="52"/>
      <x:c r="E53" s="52"/>
      <x:c r="F53" s="66"/>
      <x:c r="G53" s="53"/>
      <x:c r="H53" s="53"/>
      <x:c r="I53" s="53"/>
      <x:c r="J53" s="60" t="str">
        <x:f>IF(COUNTA(C53:E53,G53:I53)=0,"",C53*$Q$2+(D53+E53)*$Q$3+G53*$Q$2+(H53+I53)*$Q$3)</x:f>
      </x:c>
      <x:c r="K53" s="61"/>
      <x:c r="L53" s="62" t="str">
        <x:f>IF(J53="","",MAX(J53-IF(K53="",0,K53),0))</x:f>
      </x:c>
      <x:c r="M53" s="59" t="str">
        <x:f>IF(J53="","",IF(K53&gt;=J53,"จ่ายแล้ว",IF(K53&gt;0,"จ่ายบางส่วน","ยังไม่ได้จ่าย")))</x:f>
      </x:c>
      <x:c r="N53" s="22"/>
    </x:row>
    <x:row r="54" ht="21" customHeight="1">
      <x:c r="A54" s="22" t="str">
        <x:v>N9-2</x:v>
      </x:c>
      <x:c r="B54" s="22" t="str">
        <x:v>ภาคเหนือ</x:v>
      </x:c>
      <x:c r="C54" s="52"/>
      <x:c r="D54" s="52"/>
      <x:c r="E54" s="52"/>
      <x:c r="F54" s="66"/>
      <x:c r="G54" s="53"/>
      <x:c r="H54" s="53"/>
      <x:c r="I54" s="53"/>
      <x:c r="J54" s="60" t="str">
        <x:f>IF(COUNTA(C54:E54,G54:I54)=0,"",C54*$Q$2+(D54+E54)*$Q$3+G54*$Q$2+(H54+I54)*$Q$3)</x:f>
      </x:c>
      <x:c r="K54" s="61"/>
      <x:c r="L54" s="62" t="str">
        <x:f>IF(J54="","",MAX(J54-IF(K54="",0,K54),0))</x:f>
      </x:c>
      <x:c r="M54" s="59" t="str">
        <x:f>IF(J54="","",IF(K54&gt;=J54,"จ่ายแล้ว",IF(K54&gt;0,"จ่ายบางส่วน","ยังไม่ได้จ่าย")))</x:f>
      </x:c>
      <x:c r="N54" s="22"/>
    </x:row>
    <x:row r="55" ht="21" customHeight="1">
      <x:c r="A55" s="22" t="str">
        <x:v>N9-3</x:v>
      </x:c>
      <x:c r="B55" s="22" t="str">
        <x:v>ภาคเหนือ</x:v>
      </x:c>
      <x:c r="C55" s="52"/>
      <x:c r="D55" s="52"/>
      <x:c r="E55" s="52"/>
      <x:c r="F55" s="66"/>
      <x:c r="G55" s="53"/>
      <x:c r="H55" s="53"/>
      <x:c r="I55" s="53"/>
      <x:c r="J55" s="60" t="str">
        <x:f>IF(COUNTA(C55:E55,G55:I55)=0,"",C55*$Q$2+(D55+E55)*$Q$3+G55*$Q$2+(H55+I55)*$Q$3)</x:f>
      </x:c>
      <x:c r="K55" s="61"/>
      <x:c r="L55" s="62" t="str">
        <x:f>IF(J55="","",MAX(J55-IF(K55="",0,K55),0))</x:f>
      </x:c>
      <x:c r="M55" s="59" t="str">
        <x:f>IF(J55="","",IF(K55&gt;=J55,"จ่ายแล้ว",IF(K55&gt;0,"จ่ายบางส่วน","ยังไม่ได้จ่าย")))</x:f>
      </x:c>
      <x:c r="N55" s="22"/>
    </x:row>
    <x:row r="56" ht="21" customHeight="1">
      <x:c r="A56" s="22" t="str">
        <x:v>N9-4</x:v>
      </x:c>
      <x:c r="B56" s="22" t="str">
        <x:v>ภาคเหนือ</x:v>
      </x:c>
      <x:c r="C56" s="52"/>
      <x:c r="D56" s="52"/>
      <x:c r="E56" s="52"/>
      <x:c r="F56" s="66"/>
      <x:c r="G56" s="53"/>
      <x:c r="H56" s="53"/>
      <x:c r="I56" s="53"/>
      <x:c r="J56" s="60" t="str">
        <x:f>IF(COUNTA(C56:E56,G56:I56)=0,"",C56*$Q$2+(D56+E56)*$Q$3+G56*$Q$2+(H56+I56)*$Q$3)</x:f>
      </x:c>
      <x:c r="K56" s="61"/>
      <x:c r="L56" s="62" t="str">
        <x:f>IF(J56="","",MAX(J56-IF(K56="",0,K56),0))</x:f>
      </x:c>
      <x:c r="M56" s="59" t="str">
        <x:f>IF(J56="","",IF(K56&gt;=J56,"จ่ายแล้ว",IF(K56&gt;0,"จ่ายบางส่วน","ยังไม่ได้จ่าย")))</x:f>
      </x:c>
      <x:c r="N56" s="22"/>
    </x:row>
    <x:row r="57" ht="21" customHeight="1">
      <x:c r="A57" s="22" t="str">
        <x:v>N9-5</x:v>
      </x:c>
      <x:c r="B57" s="22" t="str">
        <x:v>ภาคเหนือ</x:v>
      </x:c>
      <x:c r="C57" s="52"/>
      <x:c r="D57" s="52"/>
      <x:c r="E57" s="52"/>
      <x:c r="F57" s="66"/>
      <x:c r="G57" s="53"/>
      <x:c r="H57" s="53"/>
      <x:c r="I57" s="53"/>
      <x:c r="J57" s="60" t="str">
        <x:f>IF(COUNTA(C57:E57,G57:I57)=0,"",C57*$Q$2+(D57+E57)*$Q$3+G57*$Q$2+(H57+I57)*$Q$3)</x:f>
      </x:c>
      <x:c r="K57" s="61"/>
      <x:c r="L57" s="62" t="str">
        <x:f>IF(J57="","",MAX(J57-IF(K57="",0,K57),0))</x:f>
      </x:c>
      <x:c r="M57" s="59" t="str">
        <x:f>IF(J57="","",IF(K57&gt;=J57,"จ่ายแล้ว",IF(K57&gt;0,"จ่ายบางส่วน","ยังไม่ได้จ่าย")))</x:f>
      </x:c>
      <x:c r="N57" s="22"/>
    </x:row>
    <x:row r="58" ht="21" customHeight="1">
      <x:c r="A58" s="22" t="str">
        <x:v>N9-6</x:v>
      </x:c>
      <x:c r="B58" s="22" t="str">
        <x:v>ภาคเหนือ</x:v>
      </x:c>
      <x:c r="C58" s="52"/>
      <x:c r="D58" s="52"/>
      <x:c r="E58" s="52"/>
      <x:c r="F58" s="66"/>
      <x:c r="G58" s="53"/>
      <x:c r="H58" s="53"/>
      <x:c r="I58" s="53"/>
      <x:c r="J58" s="60" t="str">
        <x:f>IF(COUNTA(C58:E58,G58:I58)=0,"",C58*$Q$2+(D58+E58)*$Q$3+G58*$Q$2+(H58+I58)*$Q$3)</x:f>
      </x:c>
      <x:c r="K58" s="61"/>
      <x:c r="L58" s="62" t="str">
        <x:f>IF(J58="","",MAX(J58-IF(K58="",0,K58),0))</x:f>
      </x:c>
      <x:c r="M58" s="59" t="str">
        <x:f>IF(J58="","",IF(K58&gt;=J58,"จ่ายแล้ว",IF(K58&gt;0,"จ่ายบางส่วน","ยังไม่ได้จ่าย")))</x:f>
      </x:c>
      <x:c r="N58" s="22"/>
    </x:row>
    <x:row r="59" ht="21" customHeight="1">
      <x:c r="A59" s="22" t="str">
        <x:v>N10-1</x:v>
      </x:c>
      <x:c r="B59" s="22" t="str">
        <x:v>ภาคเหนือ</x:v>
      </x:c>
      <x:c r="C59" s="52"/>
      <x:c r="D59" s="52"/>
      <x:c r="E59" s="52"/>
      <x:c r="F59" s="66"/>
      <x:c r="G59" s="53"/>
      <x:c r="H59" s="53"/>
      <x:c r="I59" s="53"/>
      <x:c r="J59" s="60" t="str">
        <x:f>IF(COUNTA(C59:E59,G59:I59)=0,"",C59*$Q$2+(D59+E59)*$Q$3+G59*$Q$2+(H59+I59)*$Q$3)</x:f>
      </x:c>
      <x:c r="K59" s="61"/>
      <x:c r="L59" s="62" t="str">
        <x:f>IF(J59="","",MAX(J59-IF(K59="",0,K59),0))</x:f>
      </x:c>
      <x:c r="M59" s="59" t="str">
        <x:f>IF(J59="","",IF(K59&gt;=J59,"จ่ายแล้ว",IF(K59&gt;0,"จ่ายบางส่วน","ยังไม่ได้จ่าย")))</x:f>
      </x:c>
      <x:c r="N59" s="22"/>
    </x:row>
    <x:row r="60" ht="21" customHeight="1">
      <x:c r="A60" s="22" t="str">
        <x:v>N10-2</x:v>
      </x:c>
      <x:c r="B60" s="22" t="str">
        <x:v>ภาคเหนือ</x:v>
      </x:c>
      <x:c r="C60" s="52"/>
      <x:c r="D60" s="52"/>
      <x:c r="E60" s="52"/>
      <x:c r="F60" s="66"/>
      <x:c r="G60" s="53"/>
      <x:c r="H60" s="53"/>
      <x:c r="I60" s="53"/>
      <x:c r="J60" s="60" t="str">
        <x:f>IF(COUNTA(C60:E60,G60:I60)=0,"",C60*$Q$2+(D60+E60)*$Q$3+G60*$Q$2+(H60+I60)*$Q$3)</x:f>
      </x:c>
      <x:c r="K60" s="61"/>
      <x:c r="L60" s="62" t="str">
        <x:f>IF(J60="","",MAX(J60-IF(K60="",0,K60),0))</x:f>
      </x:c>
      <x:c r="M60" s="59" t="str">
        <x:f>IF(J60="","",IF(K60&gt;=J60,"จ่ายแล้ว",IF(K60&gt;0,"จ่ายบางส่วน","ยังไม่ได้จ่าย")))</x:f>
      </x:c>
      <x:c r="N60" s="22"/>
    </x:row>
    <x:row r="61" ht="21" customHeight="1">
      <x:c r="A61" s="22" t="str">
        <x:v>N10-3</x:v>
      </x:c>
      <x:c r="B61" s="22" t="str">
        <x:v>ภาคเหนือ</x:v>
      </x:c>
      <x:c r="C61" s="52"/>
      <x:c r="D61" s="52"/>
      <x:c r="E61" s="52"/>
      <x:c r="F61" s="66"/>
      <x:c r="G61" s="53"/>
      <x:c r="H61" s="53"/>
      <x:c r="I61" s="53"/>
      <x:c r="J61" s="60" t="str">
        <x:f>IF(COUNTA(C61:E61,G61:I61)=0,"",C61*$Q$2+(D61+E61)*$Q$3+G61*$Q$2+(H61+I61)*$Q$3)</x:f>
      </x:c>
      <x:c r="K61" s="61"/>
      <x:c r="L61" s="62" t="str">
        <x:f>IF(J61="","",MAX(J61-IF(K61="",0,K61),0))</x:f>
      </x:c>
      <x:c r="M61" s="59" t="str">
        <x:f>IF(J61="","",IF(K61&gt;=J61,"จ่ายแล้ว",IF(K61&gt;0,"จ่ายบางส่วน","ยังไม่ได้จ่าย")))</x:f>
      </x:c>
      <x:c r="N61" s="22"/>
    </x:row>
    <x:row r="62" ht="21" customHeight="1">
      <x:c r="A62" s="22" t="str">
        <x:v>N10-4</x:v>
      </x:c>
      <x:c r="B62" s="22" t="str">
        <x:v>ภาคเหนือ</x:v>
      </x:c>
      <x:c r="C62" s="52"/>
      <x:c r="D62" s="52"/>
      <x:c r="E62" s="52"/>
      <x:c r="F62" s="66"/>
      <x:c r="G62" s="53"/>
      <x:c r="H62" s="53"/>
      <x:c r="I62" s="53"/>
      <x:c r="J62" s="60" t="str">
        <x:f>IF(COUNTA(C62:E62,G62:I62)=0,"",C62*$Q$2+(D62+E62)*$Q$3+G62*$Q$2+(H62+I62)*$Q$3)</x:f>
      </x:c>
      <x:c r="K62" s="61"/>
      <x:c r="L62" s="62" t="str">
        <x:f>IF(J62="","",MAX(J62-IF(K62="",0,K62),0))</x:f>
      </x:c>
      <x:c r="M62" s="59" t="str">
        <x:f>IF(J62="","",IF(K62&gt;=J62,"จ่ายแล้ว",IF(K62&gt;0,"จ่ายบางส่วน","ยังไม่ได้จ่าย")))</x:f>
      </x:c>
      <x:c r="N62" s="22"/>
    </x:row>
    <x:row r="63" ht="21" customHeight="1">
      <x:c r="A63" s="22" t="str">
        <x:v>N10-5</x:v>
      </x:c>
      <x:c r="B63" s="22" t="str">
        <x:v>ภาคเหนือ</x:v>
      </x:c>
      <x:c r="C63" s="52"/>
      <x:c r="D63" s="52"/>
      <x:c r="E63" s="52"/>
      <x:c r="F63" s="66"/>
      <x:c r="G63" s="53"/>
      <x:c r="H63" s="53"/>
      <x:c r="I63" s="53"/>
      <x:c r="J63" s="60" t="str">
        <x:f>IF(COUNTA(C63:E63,G63:I63)=0,"",C63*$Q$2+(D63+E63)*$Q$3+G63*$Q$2+(H63+I63)*$Q$3)</x:f>
      </x:c>
      <x:c r="K63" s="61"/>
      <x:c r="L63" s="62" t="str">
        <x:f>IF(J63="","",MAX(J63-IF(K63="",0,K63),0))</x:f>
      </x:c>
      <x:c r="M63" s="59" t="str">
        <x:f>IF(J63="","",IF(K63&gt;=J63,"จ่ายแล้ว",IF(K63&gt;0,"จ่ายบางส่วน","ยังไม่ได้จ่าย")))</x:f>
      </x:c>
      <x:c r="N63" s="22"/>
    </x:row>
    <x:row r="64" ht="21" customHeight="1">
      <x:c r="A64" s="22" t="str">
        <x:v>N10-6</x:v>
      </x:c>
      <x:c r="B64" s="22" t="str">
        <x:v>ภาคเหนือ</x:v>
      </x:c>
      <x:c r="C64" s="52"/>
      <x:c r="D64" s="52"/>
      <x:c r="E64" s="52"/>
      <x:c r="F64" s="66"/>
      <x:c r="G64" s="53"/>
      <x:c r="H64" s="53"/>
      <x:c r="I64" s="53"/>
      <x:c r="J64" s="60" t="str">
        <x:f>IF(COUNTA(C64:E64,G64:I64)=0,"",C64*$Q$2+(D64+E64)*$Q$3+G64*$Q$2+(H64+I64)*$Q$3)</x:f>
      </x:c>
      <x:c r="K64" s="61"/>
      <x:c r="L64" s="62" t="str">
        <x:f>IF(J64="","",MAX(J64-IF(K64="",0,K64),0))</x:f>
      </x:c>
      <x:c r="M64" s="59" t="str">
        <x:f>IF(J64="","",IF(K64&gt;=J64,"จ่ายแล้ว",IF(K64&gt;0,"จ่ายบางส่วน","ยังไม่ได้จ่าย")))</x:f>
      </x:c>
      <x:c r="N64" s="22"/>
    </x:row>
    <x:row r="65" ht="21" customHeight="1">
      <x:c r="A65" s="22" t="str">
        <x:v>N11-1</x:v>
      </x:c>
      <x:c r="B65" s="22" t="str">
        <x:v>ภาคเหนือ</x:v>
      </x:c>
      <x:c r="C65" s="52"/>
      <x:c r="D65" s="52"/>
      <x:c r="E65" s="52"/>
      <x:c r="F65" s="66"/>
      <x:c r="G65" s="53"/>
      <x:c r="H65" s="53"/>
      <x:c r="I65" s="53"/>
      <x:c r="J65" s="60" t="str">
        <x:f>IF(COUNTA(C65:E65,G65:I65)=0,"",C65*$Q$2+(D65+E65)*$Q$3+G65*$Q$2+(H65+I65)*$Q$3)</x:f>
      </x:c>
      <x:c r="K65" s="61"/>
      <x:c r="L65" s="62" t="str">
        <x:f>IF(J65="","",MAX(J65-IF(K65="",0,K65),0))</x:f>
      </x:c>
      <x:c r="M65" s="59" t="str">
        <x:f>IF(J65="","",IF(K65&gt;=J65,"จ่ายแล้ว",IF(K65&gt;0,"จ่ายบางส่วน","ยังไม่ได้จ่าย")))</x:f>
      </x:c>
      <x:c r="N65" s="22"/>
    </x:row>
    <x:row r="66" ht="21" customHeight="1">
      <x:c r="A66" s="22" t="str">
        <x:v>N11-2</x:v>
      </x:c>
      <x:c r="B66" s="22" t="str">
        <x:v>ภาคเหนือ</x:v>
      </x:c>
      <x:c r="C66" s="52"/>
      <x:c r="D66" s="52"/>
      <x:c r="E66" s="52"/>
      <x:c r="F66" s="66"/>
      <x:c r="G66" s="53"/>
      <x:c r="H66" s="53"/>
      <x:c r="I66" s="53"/>
      <x:c r="J66" s="60" t="str">
        <x:f>IF(COUNTA(C66:E66,G66:I66)=0,"",C66*$Q$2+(D66+E66)*$Q$3+G66*$Q$2+(H66+I66)*$Q$3)</x:f>
      </x:c>
      <x:c r="K66" s="61"/>
      <x:c r="L66" s="62" t="str">
        <x:f>IF(J66="","",MAX(J66-IF(K66="",0,K66),0))</x:f>
      </x:c>
      <x:c r="M66" s="59" t="str">
        <x:f>IF(J66="","",IF(K66&gt;=J66,"จ่ายแล้ว",IF(K66&gt;0,"จ่ายบางส่วน","ยังไม่ได้จ่าย")))</x:f>
      </x:c>
      <x:c r="N66" s="22"/>
    </x:row>
    <x:row r="67" ht="21" customHeight="1">
      <x:c r="A67" s="22" t="str">
        <x:v>N11-3</x:v>
      </x:c>
      <x:c r="B67" s="22" t="str">
        <x:v>ภาคเหนือ</x:v>
      </x:c>
      <x:c r="C67" s="52"/>
      <x:c r="D67" s="52"/>
      <x:c r="E67" s="52"/>
      <x:c r="F67" s="66"/>
      <x:c r="G67" s="53"/>
      <x:c r="H67" s="53"/>
      <x:c r="I67" s="53"/>
      <x:c r="J67" s="60" t="str">
        <x:f>IF(COUNTA(C67:E67,G67:I67)=0,"",C67*$Q$2+(D67+E67)*$Q$3+G67*$Q$2+(H67+I67)*$Q$3)</x:f>
      </x:c>
      <x:c r="K67" s="61"/>
      <x:c r="L67" s="62" t="str">
        <x:f>IF(J67="","",MAX(J67-IF(K67="",0,K67),0))</x:f>
      </x:c>
      <x:c r="M67" s="59" t="str">
        <x:f>IF(J67="","",IF(K67&gt;=J67,"จ่ายแล้ว",IF(K67&gt;0,"จ่ายบางส่วน","ยังไม่ได้จ่าย")))</x:f>
      </x:c>
      <x:c r="N67" s="22"/>
    </x:row>
    <x:row r="68" ht="21" customHeight="1">
      <x:c r="A68" s="22" t="str">
        <x:v>N11-4</x:v>
      </x:c>
      <x:c r="B68" s="22" t="str">
        <x:v>ภาคเหนือ</x:v>
      </x:c>
      <x:c r="C68" s="52"/>
      <x:c r="D68" s="52"/>
      <x:c r="E68" s="52"/>
      <x:c r="F68" s="66"/>
      <x:c r="G68" s="53"/>
      <x:c r="H68" s="53"/>
      <x:c r="I68" s="53"/>
      <x:c r="J68" s="60" t="str">
        <x:f>IF(COUNTA(C68:E68,G68:I68)=0,"",C68*$Q$2+(D68+E68)*$Q$3+G68*$Q$2+(H68+I68)*$Q$3)</x:f>
      </x:c>
      <x:c r="K68" s="61"/>
      <x:c r="L68" s="62" t="str">
        <x:f>IF(J68="","",MAX(J68-IF(K68="",0,K68),0))</x:f>
      </x:c>
      <x:c r="M68" s="59" t="str">
        <x:f>IF(J68="","",IF(K68&gt;=J68,"จ่ายแล้ว",IF(K68&gt;0,"จ่ายบางส่วน","ยังไม่ได้จ่าย")))</x:f>
      </x:c>
      <x:c r="N68" s="22"/>
    </x:row>
    <x:row r="69" ht="21" customHeight="1">
      <x:c r="A69" s="22" t="str">
        <x:v>N11-5</x:v>
      </x:c>
      <x:c r="B69" s="22" t="str">
        <x:v>ภาคเหนือ</x:v>
      </x:c>
      <x:c r="C69" s="52"/>
      <x:c r="D69" s="52"/>
      <x:c r="E69" s="52"/>
      <x:c r="F69" s="66"/>
      <x:c r="G69" s="53"/>
      <x:c r="H69" s="53"/>
      <x:c r="I69" s="53"/>
      <x:c r="J69" s="60" t="str">
        <x:f>IF(COUNTA(C69:E69,G69:I69)=0,"",C69*$Q$2+(D69+E69)*$Q$3+G69*$Q$2+(H69+I69)*$Q$3)</x:f>
      </x:c>
      <x:c r="K69" s="61"/>
      <x:c r="L69" s="62" t="str">
        <x:f>IF(J69="","",MAX(J69-IF(K69="",0,K69),0))</x:f>
      </x:c>
      <x:c r="M69" s="59" t="str">
        <x:f>IF(J69="","",IF(K69&gt;=J69,"จ่ายแล้ว",IF(K69&gt;0,"จ่ายบางส่วน","ยังไม่ได้จ่าย")))</x:f>
      </x:c>
      <x:c r="N69" s="22"/>
    </x:row>
    <x:row r="70" ht="21" customHeight="1">
      <x:c r="A70" s="22" t="str">
        <x:v>N11-6</x:v>
      </x:c>
      <x:c r="B70" s="22" t="str">
        <x:v>ภาคเหนือ</x:v>
      </x:c>
      <x:c r="C70" s="52"/>
      <x:c r="D70" s="52"/>
      <x:c r="E70" s="52"/>
      <x:c r="F70" s="66"/>
      <x:c r="G70" s="53"/>
      <x:c r="H70" s="53"/>
      <x:c r="I70" s="53"/>
      <x:c r="J70" s="60" t="str">
        <x:f>IF(COUNTA(C70:E70,G70:I70)=0,"",C70*$Q$2+(D70+E70)*$Q$3+G70*$Q$2+(H70+I70)*$Q$3)</x:f>
      </x:c>
      <x:c r="K70" s="61"/>
      <x:c r="L70" s="62" t="str">
        <x:f>IF(J70="","",MAX(J70-IF(K70="",0,K70),0))</x:f>
      </x:c>
      <x:c r="M70" s="59" t="str">
        <x:f>IF(J70="","",IF(K70&gt;=J70,"จ่ายแล้ว",IF(K70&gt;0,"จ่ายบางส่วน","ยังไม่ได้จ่าย")))</x:f>
      </x:c>
      <x:c r="N70" s="22"/>
    </x:row>
    <x:row r="71" ht="21" customHeight="1">
      <x:c r="A71" s="22" t="str">
        <x:v>N12-1</x:v>
      </x:c>
      <x:c r="B71" s="22" t="str">
        <x:v>ภาคเหนือ</x:v>
      </x:c>
      <x:c r="C71" s="52"/>
      <x:c r="D71" s="52"/>
      <x:c r="E71" s="52"/>
      <x:c r="F71" s="66"/>
      <x:c r="G71" s="53"/>
      <x:c r="H71" s="53"/>
      <x:c r="I71" s="53"/>
      <x:c r="J71" s="60" t="str">
        <x:f>IF(COUNTA(C71:E71,G71:I71)=0,"",C71*$Q$2+(D71+E71)*$Q$3+G71*$Q$2+(H71+I71)*$Q$3)</x:f>
      </x:c>
      <x:c r="K71" s="61"/>
      <x:c r="L71" s="62" t="str">
        <x:f>IF(J71="","",MAX(J71-IF(K71="",0,K71),0))</x:f>
      </x:c>
      <x:c r="M71" s="59" t="str">
        <x:f>IF(J71="","",IF(K71&gt;=J71,"จ่ายแล้ว",IF(K71&gt;0,"จ่ายบางส่วน","ยังไม่ได้จ่าย")))</x:f>
      </x:c>
      <x:c r="N71" s="22"/>
    </x:row>
    <x:row r="72" ht="21" customHeight="1">
      <x:c r="A72" s="22" t="str">
        <x:v>N12-2</x:v>
      </x:c>
      <x:c r="B72" s="22" t="str">
        <x:v>ภาคเหนือ</x:v>
      </x:c>
      <x:c r="C72" s="52"/>
      <x:c r="D72" s="52"/>
      <x:c r="E72" s="52"/>
      <x:c r="F72" s="66"/>
      <x:c r="G72" s="53"/>
      <x:c r="H72" s="53"/>
      <x:c r="I72" s="53"/>
      <x:c r="J72" s="60" t="str">
        <x:f>IF(COUNTA(C72:E72,G72:I72)=0,"",C72*$Q$2+(D72+E72)*$Q$3+G72*$Q$2+(H72+I72)*$Q$3)</x:f>
      </x:c>
      <x:c r="K72" s="61"/>
      <x:c r="L72" s="62" t="str">
        <x:f>IF(J72="","",MAX(J72-IF(K72="",0,K72),0))</x:f>
      </x:c>
      <x:c r="M72" s="59" t="str">
        <x:f>IF(J72="","",IF(K72&gt;=J72,"จ่ายแล้ว",IF(K72&gt;0,"จ่ายบางส่วน","ยังไม่ได้จ่าย")))</x:f>
      </x:c>
      <x:c r="N72" s="22"/>
    </x:row>
    <x:row r="73" ht="21" customHeight="1">
      <x:c r="A73" s="22" t="str">
        <x:v>N12-3</x:v>
      </x:c>
      <x:c r="B73" s="22" t="str">
        <x:v>ภาคเหนือ</x:v>
      </x:c>
      <x:c r="C73" s="52"/>
      <x:c r="D73" s="52"/>
      <x:c r="E73" s="52"/>
      <x:c r="F73" s="66"/>
      <x:c r="G73" s="53"/>
      <x:c r="H73" s="53"/>
      <x:c r="I73" s="53"/>
      <x:c r="J73" s="60" t="str">
        <x:f>IF(COUNTA(C73:E73,G73:I73)=0,"",C73*$Q$2+(D73+E73)*$Q$3+G73*$Q$2+(H73+I73)*$Q$3)</x:f>
      </x:c>
      <x:c r="K73" s="61"/>
      <x:c r="L73" s="62" t="str">
        <x:f>IF(J73="","",MAX(J73-IF(K73="",0,K73),0))</x:f>
      </x:c>
      <x:c r="M73" s="59" t="str">
        <x:f>IF(J73="","",IF(K73&gt;=J73,"จ่ายแล้ว",IF(K73&gt;0,"จ่ายบางส่วน","ยังไม่ได้จ่าย")))</x:f>
      </x:c>
      <x:c r="N73" s="22"/>
    </x:row>
    <x:row r="74" ht="21" customHeight="1">
      <x:c r="A74" s="22" t="str">
        <x:v>N12-4</x:v>
      </x:c>
      <x:c r="B74" s="22" t="str">
        <x:v>ภาคเหนือ</x:v>
      </x:c>
      <x:c r="C74" s="52"/>
      <x:c r="D74" s="52"/>
      <x:c r="E74" s="52"/>
      <x:c r="F74" s="66"/>
      <x:c r="G74" s="53"/>
      <x:c r="H74" s="53"/>
      <x:c r="I74" s="53"/>
      <x:c r="J74" s="60" t="str">
        <x:f>IF(COUNTA(C74:E74,G74:I74)=0,"",C74*$Q$2+(D74+E74)*$Q$3+G74*$Q$2+(H74+I74)*$Q$3)</x:f>
      </x:c>
      <x:c r="K74" s="61"/>
      <x:c r="L74" s="62" t="str">
        <x:f>IF(J74="","",MAX(J74-IF(K74="",0,K74),0))</x:f>
      </x:c>
      <x:c r="M74" s="59" t="str">
        <x:f>IF(J74="","",IF(K74&gt;=J74,"จ่ายแล้ว",IF(K74&gt;0,"จ่ายบางส่วน","ยังไม่ได้จ่าย")))</x:f>
      </x:c>
      <x:c r="N74" s="22"/>
    </x:row>
    <x:row r="75" ht="21" customHeight="1">
      <x:c r="A75" s="22" t="str">
        <x:v>N12-5</x:v>
      </x:c>
      <x:c r="B75" s="22" t="str">
        <x:v>ภาคเหนือ</x:v>
      </x:c>
      <x:c r="C75" s="52"/>
      <x:c r="D75" s="52"/>
      <x:c r="E75" s="52"/>
      <x:c r="F75" s="66"/>
      <x:c r="G75" s="53"/>
      <x:c r="H75" s="53"/>
      <x:c r="I75" s="53"/>
      <x:c r="J75" s="60" t="str">
        <x:f>IF(COUNTA(C75:E75,G75:I75)=0,"",C75*$Q$2+(D75+E75)*$Q$3+G75*$Q$2+(H75+I75)*$Q$3)</x:f>
      </x:c>
      <x:c r="K75" s="61"/>
      <x:c r="L75" s="62" t="str">
        <x:f>IF(J75="","",MAX(J75-IF(K75="",0,K75),0))</x:f>
      </x:c>
      <x:c r="M75" s="59" t="str">
        <x:f>IF(J75="","",IF(K75&gt;=J75,"จ่ายแล้ว",IF(K75&gt;0,"จ่ายบางส่วน","ยังไม่ได้จ่าย")))</x:f>
      </x:c>
      <x:c r="N75" s="22"/>
    </x:row>
    <x:row r="76" ht="21" customHeight="1">
      <x:c r="A76" s="22" t="str">
        <x:v>N12-6</x:v>
      </x:c>
      <x:c r="B76" s="22" t="str">
        <x:v>ภาคเหนือ</x:v>
      </x:c>
      <x:c r="C76" s="52"/>
      <x:c r="D76" s="52"/>
      <x:c r="E76" s="52"/>
      <x:c r="F76" s="66"/>
      <x:c r="G76" s="53"/>
      <x:c r="H76" s="53"/>
      <x:c r="I76" s="53"/>
      <x:c r="J76" s="60" t="str">
        <x:f>IF(COUNTA(C76:E76,G76:I76)=0,"",C76*$Q$2+(D76+E76)*$Q$3+G76*$Q$2+(H76+I76)*$Q$3)</x:f>
      </x:c>
      <x:c r="K76" s="61"/>
      <x:c r="L76" s="62" t="str">
        <x:f>IF(J76="","",MAX(J76-IF(K76="",0,K76),0))</x:f>
      </x:c>
      <x:c r="M76" s="59" t="str">
        <x:f>IF(J76="","",IF(K76&gt;=J76,"จ่ายแล้ว",IF(K76&gt;0,"จ่ายบางส่วน","ยังไม่ได้จ่าย")))</x:f>
      </x:c>
      <x:c r="N76" s="22"/>
    </x:row>
    <x:row r="77" ht="21" customHeight="1">
      <x:c r="A77" s="22" t="str">
        <x:v>N13-1</x:v>
      </x:c>
      <x:c r="B77" s="22" t="str">
        <x:v>ภาคเหนือ</x:v>
      </x:c>
      <x:c r="C77" s="52"/>
      <x:c r="D77" s="52"/>
      <x:c r="E77" s="52"/>
      <x:c r="F77" s="66"/>
      <x:c r="G77" s="53"/>
      <x:c r="H77" s="53"/>
      <x:c r="I77" s="53"/>
      <x:c r="J77" s="60" t="str">
        <x:f>IF(COUNTA(C77:E77,G77:I77)=0,"",C77*$Q$2+(D77+E77)*$Q$3+G77*$Q$2+(H77+I77)*$Q$3)</x:f>
      </x:c>
      <x:c r="K77" s="61"/>
      <x:c r="L77" s="62" t="str">
        <x:f>IF(J77="","",MAX(J77-IF(K77="",0,K77),0))</x:f>
      </x:c>
      <x:c r="M77" s="59" t="str">
        <x:f>IF(J77="","",IF(K77&gt;=J77,"จ่ายแล้ว",IF(K77&gt;0,"จ่ายบางส่วน","ยังไม่ได้จ่าย")))</x:f>
      </x:c>
      <x:c r="N77" s="22"/>
    </x:row>
    <x:row r="78" ht="21" customHeight="1">
      <x:c r="A78" s="22" t="str">
        <x:v>N13-2</x:v>
      </x:c>
      <x:c r="B78" s="22" t="str">
        <x:v>ภาคเหนือ</x:v>
      </x:c>
      <x:c r="C78" s="52"/>
      <x:c r="D78" s="52"/>
      <x:c r="E78" s="52"/>
      <x:c r="F78" s="66"/>
      <x:c r="G78" s="53"/>
      <x:c r="H78" s="53"/>
      <x:c r="I78" s="53"/>
      <x:c r="J78" s="60" t="str">
        <x:f>IF(COUNTA(C78:E78,G78:I78)=0,"",C78*$Q$2+(D78+E78)*$Q$3+G78*$Q$2+(H78+I78)*$Q$3)</x:f>
      </x:c>
      <x:c r="K78" s="61"/>
      <x:c r="L78" s="62" t="str">
        <x:f>IF(J78="","",MAX(J78-IF(K78="",0,K78),0))</x:f>
      </x:c>
      <x:c r="M78" s="59" t="str">
        <x:f>IF(J78="","",IF(K78&gt;=J78,"จ่ายแล้ว",IF(K78&gt;0,"จ่ายบางส่วน","ยังไม่ได้จ่าย")))</x:f>
      </x:c>
      <x:c r="N78" s="22"/>
    </x:row>
    <x:row r="79" ht="21" customHeight="1">
      <x:c r="A79" s="22" t="str">
        <x:v>N13-3</x:v>
      </x:c>
      <x:c r="B79" s="22" t="str">
        <x:v>ภาคเหนือ</x:v>
      </x:c>
      <x:c r="C79" s="52"/>
      <x:c r="D79" s="52"/>
      <x:c r="E79" s="52"/>
      <x:c r="F79" s="66"/>
      <x:c r="G79" s="53"/>
      <x:c r="H79" s="53"/>
      <x:c r="I79" s="53"/>
      <x:c r="J79" s="60" t="str">
        <x:f>IF(COUNTA(C79:E79,G79:I79)=0,"",C79*$Q$2+(D79+E79)*$Q$3+G79*$Q$2+(H79+I79)*$Q$3)</x:f>
      </x:c>
      <x:c r="K79" s="61"/>
      <x:c r="L79" s="62" t="str">
        <x:f>IF(J79="","",MAX(J79-IF(K79="",0,K79),0))</x:f>
      </x:c>
      <x:c r="M79" s="59" t="str">
        <x:f>IF(J79="","",IF(K79&gt;=J79,"จ่ายแล้ว",IF(K79&gt;0,"จ่ายบางส่วน","ยังไม่ได้จ่าย")))</x:f>
      </x:c>
      <x:c r="N79" s="22"/>
    </x:row>
    <x:row r="80" ht="21" customHeight="1">
      <x:c r="A80" s="22" t="str">
        <x:v>N13-4</x:v>
      </x:c>
      <x:c r="B80" s="22" t="str">
        <x:v>ภาคเหนือ</x:v>
      </x:c>
      <x:c r="C80" s="52"/>
      <x:c r="D80" s="52"/>
      <x:c r="E80" s="52"/>
      <x:c r="F80" s="66"/>
      <x:c r="G80" s="53"/>
      <x:c r="H80" s="53"/>
      <x:c r="I80" s="53"/>
      <x:c r="J80" s="60" t="str">
        <x:f>IF(COUNTA(C80:E80,G80:I80)=0,"",C80*$Q$2+(D80+E80)*$Q$3+G80*$Q$2+(H80+I80)*$Q$3)</x:f>
      </x:c>
      <x:c r="K80" s="61"/>
      <x:c r="L80" s="62" t="str">
        <x:f>IF(J80="","",MAX(J80-IF(K80="",0,K80),0))</x:f>
      </x:c>
      <x:c r="M80" s="59" t="str">
        <x:f>IF(J80="","",IF(K80&gt;=J80,"จ่ายแล้ว",IF(K80&gt;0,"จ่ายบางส่วน","ยังไม่ได้จ่าย")))</x:f>
      </x:c>
      <x:c r="N80" s="22"/>
    </x:row>
    <x:row r="81" ht="21" customHeight="1">
      <x:c r="A81" s="22" t="str">
        <x:v>N13-5</x:v>
      </x:c>
      <x:c r="B81" s="22" t="str">
        <x:v>ภาคเหนือ</x:v>
      </x:c>
      <x:c r="C81" s="52"/>
      <x:c r="D81" s="52"/>
      <x:c r="E81" s="52"/>
      <x:c r="F81" s="66"/>
      <x:c r="G81" s="53"/>
      <x:c r="H81" s="53"/>
      <x:c r="I81" s="53"/>
      <x:c r="J81" s="60" t="str">
        <x:f>IF(COUNTA(C81:E81,G81:I81)=0,"",C81*$Q$2+(D81+E81)*$Q$3+G81*$Q$2+(H81+I81)*$Q$3)</x:f>
      </x:c>
      <x:c r="K81" s="61"/>
      <x:c r="L81" s="62" t="str">
        <x:f>IF(J81="","",MAX(J81-IF(K81="",0,K81),0))</x:f>
      </x:c>
      <x:c r="M81" s="59" t="str">
        <x:f>IF(J81="","",IF(K81&gt;=J81,"จ่ายแล้ว",IF(K81&gt;0,"จ่ายบางส่วน","ยังไม่ได้จ่าย")))</x:f>
      </x:c>
      <x:c r="N81" s="22"/>
    </x:row>
    <x:row r="82" ht="21" customHeight="1">
      <x:c r="A82" s="22" t="str">
        <x:v>N13-6</x:v>
      </x:c>
      <x:c r="B82" s="22" t="str">
        <x:v>ภาคเหนือ</x:v>
      </x:c>
      <x:c r="C82" s="52"/>
      <x:c r="D82" s="52"/>
      <x:c r="E82" s="52"/>
      <x:c r="F82" s="66"/>
      <x:c r="G82" s="53"/>
      <x:c r="H82" s="53"/>
      <x:c r="I82" s="53"/>
      <x:c r="J82" s="60" t="str">
        <x:f>IF(COUNTA(C82:E82,G82:I82)=0,"",C82*$Q$2+(D82+E82)*$Q$3+G82*$Q$2+(H82+I82)*$Q$3)</x:f>
      </x:c>
      <x:c r="K82" s="61"/>
      <x:c r="L82" s="62" t="str">
        <x:f>IF(J82="","",MAX(J82-IF(K82="",0,K82),0))</x:f>
      </x:c>
      <x:c r="M82" s="59" t="str">
        <x:f>IF(J82="","",IF(K82&gt;=J82,"จ่ายแล้ว",IF(K82&gt;0,"จ่ายบางส่วน","ยังไม่ได้จ่าย")))</x:f>
      </x:c>
      <x:c r="N82" s="22"/>
    </x:row>
    <x:row r="83" ht="21" customHeight="1">
      <x:c r="A83" s="22" t="str">
        <x:v>N14-1</x:v>
      </x:c>
      <x:c r="B83" s="22" t="str">
        <x:v>ภาคเหนือ</x:v>
      </x:c>
      <x:c r="C83" s="52"/>
      <x:c r="D83" s="52"/>
      <x:c r="E83" s="52"/>
      <x:c r="F83" s="66"/>
      <x:c r="G83" s="53"/>
      <x:c r="H83" s="53"/>
      <x:c r="I83" s="53"/>
      <x:c r="J83" s="60" t="str">
        <x:f>IF(COUNTA(C83:E83,G83:I83)=0,"",C83*$Q$2+(D83+E83)*$Q$3+G83*$Q$2+(H83+I83)*$Q$3)</x:f>
      </x:c>
      <x:c r="K83" s="61"/>
      <x:c r="L83" s="62" t="str">
        <x:f>IF(J83="","",MAX(J83-IF(K83="",0,K83),0))</x:f>
      </x:c>
      <x:c r="M83" s="59" t="str">
        <x:f>IF(J83="","",IF(K83&gt;=J83,"จ่ายแล้ว",IF(K83&gt;0,"จ่ายบางส่วน","ยังไม่ได้จ่าย")))</x:f>
      </x:c>
      <x:c r="N83" s="22"/>
    </x:row>
    <x:row r="84" ht="21" customHeight="1">
      <x:c r="A84" s="22" t="str">
        <x:v>N14-2</x:v>
      </x:c>
      <x:c r="B84" s="22" t="str">
        <x:v>ภาคเหนือ</x:v>
      </x:c>
      <x:c r="C84" s="52"/>
      <x:c r="D84" s="52"/>
      <x:c r="E84" s="52"/>
      <x:c r="F84" s="66"/>
      <x:c r="G84" s="53"/>
      <x:c r="H84" s="53"/>
      <x:c r="I84" s="53"/>
      <x:c r="J84" s="60" t="str">
        <x:f>IF(COUNTA(C84:E84,G84:I84)=0,"",C84*$Q$2+(D84+E84)*$Q$3+G84*$Q$2+(H84+I84)*$Q$3)</x:f>
      </x:c>
      <x:c r="K84" s="61"/>
      <x:c r="L84" s="62" t="str">
        <x:f>IF(J84="","",MAX(J84-IF(K84="",0,K84),0))</x:f>
      </x:c>
      <x:c r="M84" s="59" t="str">
        <x:f>IF(J84="","",IF(K84&gt;=J84,"จ่ายแล้ว",IF(K84&gt;0,"จ่ายบางส่วน","ยังไม่ได้จ่าย")))</x:f>
      </x:c>
      <x:c r="N84" s="22"/>
    </x:row>
    <x:row r="85" ht="21" customHeight="1">
      <x:c r="A85" s="22" t="str">
        <x:v>N14-3</x:v>
      </x:c>
      <x:c r="B85" s="22" t="str">
        <x:v>ภาคเหนือ</x:v>
      </x:c>
      <x:c r="C85" s="52"/>
      <x:c r="D85" s="52"/>
      <x:c r="E85" s="52"/>
      <x:c r="F85" s="66"/>
      <x:c r="G85" s="53"/>
      <x:c r="H85" s="53"/>
      <x:c r="I85" s="53"/>
      <x:c r="J85" s="60" t="str">
        <x:f>IF(COUNTA(C85:E85,G85:I85)=0,"",C85*$Q$2+(D85+E85)*$Q$3+G85*$Q$2+(H85+I85)*$Q$3)</x:f>
      </x:c>
      <x:c r="K85" s="61"/>
      <x:c r="L85" s="62" t="str">
        <x:f>IF(J85="","",MAX(J85-IF(K85="",0,K85),0))</x:f>
      </x:c>
      <x:c r="M85" s="59" t="str">
        <x:f>IF(J85="","",IF(K85&gt;=J85,"จ่ายแล้ว",IF(K85&gt;0,"จ่ายบางส่วน","ยังไม่ได้จ่าย")))</x:f>
      </x:c>
      <x:c r="N85" s="22"/>
    </x:row>
    <x:row r="86" ht="21" customHeight="1">
      <x:c r="A86" s="22" t="str">
        <x:v>N14-4</x:v>
      </x:c>
      <x:c r="B86" s="22" t="str">
        <x:v>ภาคเหนือ</x:v>
      </x:c>
      <x:c r="C86" s="52"/>
      <x:c r="D86" s="52"/>
      <x:c r="E86" s="52"/>
      <x:c r="F86" s="66"/>
      <x:c r="G86" s="53"/>
      <x:c r="H86" s="53"/>
      <x:c r="I86" s="53"/>
      <x:c r="J86" s="60" t="str">
        <x:f>IF(COUNTA(C86:E86,G86:I86)=0,"",C86*$Q$2+(D86+E86)*$Q$3+G86*$Q$2+(H86+I86)*$Q$3)</x:f>
      </x:c>
      <x:c r="K86" s="61"/>
      <x:c r="L86" s="62" t="str">
        <x:f>IF(J86="","",MAX(J86-IF(K86="",0,K86),0))</x:f>
      </x:c>
      <x:c r="M86" s="59" t="str">
        <x:f>IF(J86="","",IF(K86&gt;=J86,"จ่ายแล้ว",IF(K86&gt;0,"จ่ายบางส่วน","ยังไม่ได้จ่าย")))</x:f>
      </x:c>
      <x:c r="N86" s="22"/>
    </x:row>
    <x:row r="87" ht="21" customHeight="1">
      <x:c r="A87" s="22" t="str">
        <x:v>N14-5</x:v>
      </x:c>
      <x:c r="B87" s="22" t="str">
        <x:v>ภาคเหนือ</x:v>
      </x:c>
      <x:c r="C87" s="52"/>
      <x:c r="D87" s="52"/>
      <x:c r="E87" s="52"/>
      <x:c r="F87" s="66"/>
      <x:c r="G87" s="53"/>
      <x:c r="H87" s="53"/>
      <x:c r="I87" s="53"/>
      <x:c r="J87" s="60" t="str">
        <x:f>IF(COUNTA(C87:E87,G87:I87)=0,"",C87*$Q$2+(D87+E87)*$Q$3+G87*$Q$2+(H87+I87)*$Q$3)</x:f>
      </x:c>
      <x:c r="K87" s="61"/>
      <x:c r="L87" s="62" t="str">
        <x:f>IF(J87="","",MAX(J87-IF(K87="",0,K87),0))</x:f>
      </x:c>
      <x:c r="M87" s="59" t="str">
        <x:f>IF(J87="","",IF(K87&gt;=J87,"จ่ายแล้ว",IF(K87&gt;0,"จ่ายบางส่วน","ยังไม่ได้จ่าย")))</x:f>
      </x:c>
      <x:c r="N87" s="22"/>
    </x:row>
    <x:row r="88" ht="21" customHeight="1">
      <x:c r="A88" s="22" t="str">
        <x:v>N14-6</x:v>
      </x:c>
      <x:c r="B88" s="22" t="str">
        <x:v>ภาคเหนือ</x:v>
      </x:c>
      <x:c r="C88" s="52"/>
      <x:c r="D88" s="52"/>
      <x:c r="E88" s="52"/>
      <x:c r="F88" s="66"/>
      <x:c r="G88" s="53"/>
      <x:c r="H88" s="53"/>
      <x:c r="I88" s="53"/>
      <x:c r="J88" s="60" t="str">
        <x:f>IF(COUNTA(C88:E88,G88:I88)=0,"",C88*$Q$2+(D88+E88)*$Q$3+G88*$Q$2+(H88+I88)*$Q$3)</x:f>
      </x:c>
      <x:c r="K88" s="61"/>
      <x:c r="L88" s="62" t="str">
        <x:f>IF(J88="","",MAX(J88-IF(K88="",0,K88),0))</x:f>
      </x:c>
      <x:c r="M88" s="59" t="str">
        <x:f>IF(J88="","",IF(K88&gt;=J88,"จ่ายแล้ว",IF(K88&gt;0,"จ่ายบางส่วน","ยังไม่ได้จ่าย")))</x:f>
      </x:c>
      <x:c r="N88" s="22"/>
    </x:row>
    <x:row r="89" ht="21" customHeight="1">
      <x:c r="A89" s="22" t="str">
        <x:v>N15-1</x:v>
      </x:c>
      <x:c r="B89" s="22" t="str">
        <x:v>ภาคเหนือ</x:v>
      </x:c>
      <x:c r="C89" s="52"/>
      <x:c r="D89" s="52"/>
      <x:c r="E89" s="52"/>
      <x:c r="F89" s="66"/>
      <x:c r="G89" s="53"/>
      <x:c r="H89" s="53"/>
      <x:c r="I89" s="53"/>
      <x:c r="J89" s="60" t="str">
        <x:f>IF(COUNTA(C89:E89,G89:I89)=0,"",C89*$Q$2+(D89+E89)*$Q$3+G89*$Q$2+(H89+I89)*$Q$3)</x:f>
      </x:c>
      <x:c r="K89" s="61"/>
      <x:c r="L89" s="62" t="str">
        <x:f>IF(J89="","",MAX(J89-IF(K89="",0,K89),0))</x:f>
      </x:c>
      <x:c r="M89" s="59" t="str">
        <x:f>IF(J89="","",IF(K89&gt;=J89,"จ่ายแล้ว",IF(K89&gt;0,"จ่ายบางส่วน","ยังไม่ได้จ่าย")))</x:f>
      </x:c>
      <x:c r="N89" s="22"/>
    </x:row>
    <x:row r="90" ht="21" customHeight="1">
      <x:c r="A90" s="22" t="str">
        <x:v>N15-2</x:v>
      </x:c>
      <x:c r="B90" s="22" t="str">
        <x:v>ภาคเหนือ</x:v>
      </x:c>
      <x:c r="C90" s="52"/>
      <x:c r="D90" s="52"/>
      <x:c r="E90" s="52"/>
      <x:c r="F90" s="66"/>
      <x:c r="G90" s="53"/>
      <x:c r="H90" s="53"/>
      <x:c r="I90" s="53"/>
      <x:c r="J90" s="60" t="str">
        <x:f>IF(COUNTA(C90:E90,G90:I90)=0,"",C90*$Q$2+(D90+E90)*$Q$3+G90*$Q$2+(H90+I90)*$Q$3)</x:f>
      </x:c>
      <x:c r="K90" s="61"/>
      <x:c r="L90" s="62" t="str">
        <x:f>IF(J90="","",MAX(J90-IF(K90="",0,K90),0))</x:f>
      </x:c>
      <x:c r="M90" s="59" t="str">
        <x:f>IF(J90="","",IF(K90&gt;=J90,"จ่ายแล้ว",IF(K90&gt;0,"จ่ายบางส่วน","ยังไม่ได้จ่าย")))</x:f>
      </x:c>
      <x:c r="N90" s="22"/>
    </x:row>
    <x:row r="91" ht="21" customHeight="1">
      <x:c r="A91" s="22" t="str">
        <x:v>N15-3</x:v>
      </x:c>
      <x:c r="B91" s="22" t="str">
        <x:v>ภาคเหนือ</x:v>
      </x:c>
      <x:c r="C91" s="52" t="n">
        <x:v>1</x:v>
      </x:c>
      <x:c r="D91" s="52" t="n">
        <x:v>2</x:v>
      </x:c>
      <x:c r="E91" s="52"/>
      <x:c r="F91" s="66"/>
      <x:c r="G91" s="53"/>
      <x:c r="H91" s="53"/>
      <x:c r="I91" s="53"/>
      <x:c r="J91" s="60" t="n">
        <x:f>IF(COUNTA(C91:E91,G91:I91)=0,"",C91*$Q$2+(D91+E91)*$Q$3+G91*$Q$2+(H91+I91)*$Q$3)</x:f>
        <x:v>220</x:v>
      </x:c>
      <x:c r="K91" s="61" t="n">
        <x:v>0</x:v>
      </x:c>
      <x:c r="L91" s="62" t="n">
        <x:f>IF(J91="","",MAX(J91-IF(K91="",0,K91),0))</x:f>
        <x:v>220</x:v>
      </x:c>
      <x:c r="M91" s="59" t="str">
        <x:f>IF(J91="","",IF(K91&gt;=J91,"จ่ายแล้ว",IF(K91&gt;0,"จ่ายบางส่วน","ยังไม่ได้จ่าย")))</x:f>
        <x:v>ยังไม่ได้จ่าย</x:v>
      </x:c>
      <x:c r="N91" s="22" t="str">
        <x:v>สด</x:v>
      </x:c>
    </x:row>
    <x:row r="92" ht="21" customHeight="1">
      <x:c r="A92" s="22" t="str">
        <x:v>N15-4</x:v>
      </x:c>
      <x:c r="B92" s="22" t="str">
        <x:v>ภาคเหนือ</x:v>
      </x:c>
      <x:c r="C92" s="52"/>
      <x:c r="D92" s="52"/>
      <x:c r="E92" s="52"/>
      <x:c r="F92" s="66"/>
      <x:c r="G92" s="53"/>
      <x:c r="H92" s="53"/>
      <x:c r="I92" s="53"/>
      <x:c r="J92" s="60" t="str">
        <x:f>IF(COUNTA(C92:E92,G92:I92)=0,"",C92*$Q$2+(D92+E92)*$Q$3+G92*$Q$2+(H92+I92)*$Q$3)</x:f>
      </x:c>
      <x:c r="K92" s="61"/>
      <x:c r="L92" s="62" t="str">
        <x:f>IF(J92="","",MAX(J92-IF(K92="",0,K92),0))</x:f>
      </x:c>
      <x:c r="M92" s="59" t="str">
        <x:f>IF(J92="","",IF(K92&gt;=J92,"จ่ายแล้ว",IF(K92&gt;0,"จ่ายบางส่วน","ยังไม่ได้จ่าย")))</x:f>
      </x:c>
      <x:c r="N92" s="22"/>
    </x:row>
    <x:row r="93" ht="21" customHeight="1">
      <x:c r="A93" s="22" t="str">
        <x:v>N15-5</x:v>
      </x:c>
      <x:c r="B93" s="22" t="str">
        <x:v>ภาคเหนือ</x:v>
      </x:c>
      <x:c r="C93" s="52"/>
      <x:c r="D93" s="52"/>
      <x:c r="E93" s="52"/>
      <x:c r="F93" s="66"/>
      <x:c r="G93" s="53"/>
      <x:c r="H93" s="53"/>
      <x:c r="I93" s="53"/>
      <x:c r="J93" s="60" t="str">
        <x:f>IF(COUNTA(C93:E93,G93:I93)=0,"",C93*$Q$2+(D93+E93)*$Q$3+G93*$Q$2+(H93+I93)*$Q$3)</x:f>
      </x:c>
      <x:c r="K93" s="61"/>
      <x:c r="L93" s="62" t="str">
        <x:f>IF(J93="","",MAX(J93-IF(K93="",0,K93),0))</x:f>
      </x:c>
      <x:c r="M93" s="59" t="str">
        <x:f>IF(J93="","",IF(K93&gt;=J93,"จ่ายแล้ว",IF(K93&gt;0,"จ่ายบางส่วน","ยังไม่ได้จ่าย")))</x:f>
      </x:c>
      <x:c r="N93" s="22"/>
    </x:row>
    <x:row r="94" ht="21" customHeight="1">
      <x:c r="A94" s="22" t="str">
        <x:v>N15-6</x:v>
      </x:c>
      <x:c r="B94" s="22" t="str">
        <x:v>ภาคเหนือ</x:v>
      </x:c>
      <x:c r="C94" s="52"/>
      <x:c r="D94" s="52"/>
      <x:c r="E94" s="52"/>
      <x:c r="F94" s="66"/>
      <x:c r="G94" s="53"/>
      <x:c r="H94" s="53"/>
      <x:c r="I94" s="53"/>
      <x:c r="J94" s="60" t="str">
        <x:f>IF(COUNTA(C94:E94,G94:I94)=0,"",C94*$Q$2+(D94+E94)*$Q$3+G94*$Q$2+(H94+I94)*$Q$3)</x:f>
      </x:c>
      <x:c r="K94" s="61"/>
      <x:c r="L94" s="62" t="str">
        <x:f>IF(J94="","",MAX(J94-IF(K94="",0,K94),0))</x:f>
      </x:c>
      <x:c r="M94" s="59" t="str">
        <x:f>IF(J94="","",IF(K94&gt;=J94,"จ่ายแล้ว",IF(K94&gt;0,"จ่ายบางส่วน","ยังไม่ได้จ่าย")))</x:f>
      </x:c>
      <x:c r="N94" s="22"/>
    </x:row>
    <x:row r="95" ht="21" customHeight="1">
      <x:c r="A95" s="22" t="str">
        <x:v>N16-1</x:v>
      </x:c>
      <x:c r="B95" s="22" t="str">
        <x:v>ภาคเหนือ</x:v>
      </x:c>
      <x:c r="C95" s="52"/>
      <x:c r="D95" s="52"/>
      <x:c r="E95" s="52"/>
      <x:c r="F95" s="66"/>
      <x:c r="G95" s="53"/>
      <x:c r="H95" s="53"/>
      <x:c r="I95" s="53"/>
      <x:c r="J95" s="60" t="str">
        <x:f>IF(COUNTA(C95:E95,G95:I95)=0,"",C95*$Q$2+(D95+E95)*$Q$3+G95*$Q$2+(H95+I95)*$Q$3)</x:f>
      </x:c>
      <x:c r="K95" s="61"/>
      <x:c r="L95" s="62" t="str">
        <x:f>IF(J95="","",MAX(J95-IF(K95="",0,K95),0))</x:f>
      </x:c>
      <x:c r="M95" s="59" t="str">
        <x:f>IF(J95="","",IF(K95&gt;=J95,"จ่ายแล้ว",IF(K95&gt;0,"จ่ายบางส่วน","ยังไม่ได้จ่าย")))</x:f>
      </x:c>
      <x:c r="N95" s="22"/>
    </x:row>
    <x:row r="96" ht="21" customHeight="1">
      <x:c r="A96" s="22" t="str">
        <x:v>N16-2</x:v>
      </x:c>
      <x:c r="B96" s="22" t="str">
        <x:v>ภาคเหนือ</x:v>
      </x:c>
      <x:c r="C96" s="52"/>
      <x:c r="D96" s="52"/>
      <x:c r="E96" s="52"/>
      <x:c r="F96" s="66"/>
      <x:c r="G96" s="53"/>
      <x:c r="H96" s="53"/>
      <x:c r="I96" s="53"/>
      <x:c r="J96" s="60" t="str">
        <x:f>IF(COUNTA(C96:E96,G96:I96)=0,"",C96*$Q$2+(D96+E96)*$Q$3+G96*$Q$2+(H96+I96)*$Q$3)</x:f>
      </x:c>
      <x:c r="K96" s="61"/>
      <x:c r="L96" s="62" t="str">
        <x:f>IF(J96="","",MAX(J96-IF(K96="",0,K96),0))</x:f>
      </x:c>
      <x:c r="M96" s="59" t="str">
        <x:f>IF(J96="","",IF(K96&gt;=J96,"จ่ายแล้ว",IF(K96&gt;0,"จ่ายบางส่วน","ยังไม่ได้จ่าย")))</x:f>
      </x:c>
      <x:c r="N96" s="22"/>
    </x:row>
    <x:row r="97" ht="21" customHeight="1">
      <x:c r="A97" s="22" t="str">
        <x:v>N16-3</x:v>
      </x:c>
      <x:c r="B97" s="22" t="str">
        <x:v>ภาคเหนือ</x:v>
      </x:c>
      <x:c r="C97" s="52"/>
      <x:c r="D97" s="52"/>
      <x:c r="E97" s="52"/>
      <x:c r="F97" s="66"/>
      <x:c r="G97" s="53"/>
      <x:c r="H97" s="53"/>
      <x:c r="I97" s="53"/>
      <x:c r="J97" s="60" t="str">
        <x:f>IF(COUNTA(C97:E97,G97:I97)=0,"",C97*$Q$2+(D97+E97)*$Q$3+G97*$Q$2+(H97+I97)*$Q$3)</x:f>
      </x:c>
      <x:c r="K97" s="61"/>
      <x:c r="L97" s="62" t="str">
        <x:f>IF(J97="","",MAX(J97-IF(K97="",0,K97),0))</x:f>
      </x:c>
      <x:c r="M97" s="59" t="str">
        <x:f>IF(J97="","",IF(K97&gt;=J97,"จ่ายแล้ว",IF(K97&gt;0,"จ่ายบางส่วน","ยังไม่ได้จ่าย")))</x:f>
      </x:c>
      <x:c r="N97" s="22"/>
    </x:row>
    <x:row r="98" ht="21" customHeight="1">
      <x:c r="A98" s="22" t="str">
        <x:v>N16-4</x:v>
      </x:c>
      <x:c r="B98" s="22" t="str">
        <x:v>ภาคเหนือ</x:v>
      </x:c>
      <x:c r="C98" s="52"/>
      <x:c r="D98" s="52"/>
      <x:c r="E98" s="52"/>
      <x:c r="F98" s="66"/>
      <x:c r="G98" s="53"/>
      <x:c r="H98" s="53"/>
      <x:c r="I98" s="53"/>
      <x:c r="J98" s="60" t="str">
        <x:f>IF(COUNTA(C98:E98,G98:I98)=0,"",C98*$Q$2+(D98+E98)*$Q$3+G98*$Q$2+(H98+I98)*$Q$3)</x:f>
      </x:c>
      <x:c r="K98" s="61"/>
      <x:c r="L98" s="62" t="str">
        <x:f>IF(J98="","",MAX(J98-IF(K98="",0,K98),0))</x:f>
      </x:c>
      <x:c r="M98" s="59" t="str">
        <x:f>IF(J98="","",IF(K98&gt;=J98,"จ่ายแล้ว",IF(K98&gt;0,"จ่ายบางส่วน","ยังไม่ได้จ่าย")))</x:f>
      </x:c>
      <x:c r="N98" s="22"/>
    </x:row>
    <x:row r="99" ht="21" customHeight="1">
      <x:c r="A99" s="22" t="str">
        <x:v>N16-5</x:v>
      </x:c>
      <x:c r="B99" s="22" t="str">
        <x:v>ภาคเหนือ</x:v>
      </x:c>
      <x:c r="C99" s="52"/>
      <x:c r="D99" s="52"/>
      <x:c r="E99" s="52"/>
      <x:c r="F99" s="66"/>
      <x:c r="G99" s="53"/>
      <x:c r="H99" s="53"/>
      <x:c r="I99" s="53"/>
      <x:c r="J99" s="60" t="str">
        <x:f>IF(COUNTA(C99:E99,G99:I99)=0,"",C99*$Q$2+(D99+E99)*$Q$3+G99*$Q$2+(H99+I99)*$Q$3)</x:f>
      </x:c>
      <x:c r="K99" s="61"/>
      <x:c r="L99" s="62" t="str">
        <x:f>IF(J99="","",MAX(J99-IF(K99="",0,K99),0))</x:f>
      </x:c>
      <x:c r="M99" s="59" t="str">
        <x:f>IF(J99="","",IF(K99&gt;=J99,"จ่ายแล้ว",IF(K99&gt;0,"จ่ายบางส่วน","ยังไม่ได้จ่าย")))</x:f>
      </x:c>
      <x:c r="N99" s="22"/>
    </x:row>
    <x:row r="100" ht="21" customHeight="1">
      <x:c r="A100" s="22" t="str">
        <x:v>N16-6</x:v>
      </x:c>
      <x:c r="B100" s="22" t="str">
        <x:v>ภาคเหนือ</x:v>
      </x:c>
      <x:c r="C100" s="52"/>
      <x:c r="D100" s="52"/>
      <x:c r="E100" s="52"/>
      <x:c r="F100" s="66"/>
      <x:c r="G100" s="53"/>
      <x:c r="H100" s="53"/>
      <x:c r="I100" s="53"/>
      <x:c r="J100" s="60" t="str">
        <x:f>IF(COUNTA(C100:E100,G100:I100)=0,"",C100*$Q$2+(D100+E100)*$Q$3+G100*$Q$2+(H100+I100)*$Q$3)</x:f>
      </x:c>
      <x:c r="K100" s="61"/>
      <x:c r="L100" s="62" t="str">
        <x:f>IF(J100="","",MAX(J100-IF(K100="",0,K100),0))</x:f>
      </x:c>
      <x:c r="M100" s="59" t="str">
        <x:f>IF(J100="","",IF(K100&gt;=J100,"จ่ายแล้ว",IF(K100&gt;0,"จ่ายบางส่วน","ยังไม่ได้จ่าย")))</x:f>
      </x:c>
      <x:c r="N100" s="22"/>
    </x:row>
    <x:row r="101" ht="21" customHeight="1">
      <x:c r="A101" s="22" t="str">
        <x:v>N17-1</x:v>
      </x:c>
      <x:c r="B101" s="22" t="str">
        <x:v>ภาคเหนือ</x:v>
      </x:c>
      <x:c r="C101" s="52"/>
      <x:c r="D101" s="52"/>
      <x:c r="E101" s="52"/>
      <x:c r="F101" s="66"/>
      <x:c r="G101" s="53"/>
      <x:c r="H101" s="53"/>
      <x:c r="I101" s="53"/>
      <x:c r="J101" s="60" t="str">
        <x:f>IF(COUNTA(C101:E101,G101:I101)=0,"",C101*$Q$2+(D101+E101)*$Q$3+G101*$Q$2+(H101+I101)*$Q$3)</x:f>
      </x:c>
      <x:c r="K101" s="61"/>
      <x:c r="L101" s="62" t="str">
        <x:f>IF(J101="","",MAX(J101-IF(K101="",0,K101),0))</x:f>
      </x:c>
      <x:c r="M101" s="59" t="str">
        <x:f>IF(J101="","",IF(K101&gt;=J101,"จ่ายแล้ว",IF(K101&gt;0,"จ่ายบางส่วน","ยังไม่ได้จ่าย")))</x:f>
      </x:c>
      <x:c r="N101" s="22"/>
    </x:row>
    <x:row r="102" ht="21" customHeight="1">
      <x:c r="A102" s="22" t="str">
        <x:v>N17-2</x:v>
      </x:c>
      <x:c r="B102" s="22" t="str">
        <x:v>ภาคเหนือ</x:v>
      </x:c>
      <x:c r="C102" s="52"/>
      <x:c r="D102" s="52"/>
      <x:c r="E102" s="52"/>
      <x:c r="F102" s="66"/>
      <x:c r="G102" s="53"/>
      <x:c r="H102" s="53"/>
      <x:c r="I102" s="53"/>
      <x:c r="J102" s="60" t="str">
        <x:f>IF(COUNTA(C102:E102,G102:I102)=0,"",C102*$Q$2+(D102+E102)*$Q$3+G102*$Q$2+(H102+I102)*$Q$3)</x:f>
      </x:c>
      <x:c r="K102" s="61"/>
      <x:c r="L102" s="62" t="str">
        <x:f>IF(J102="","",MAX(J102-IF(K102="",0,K102),0))</x:f>
      </x:c>
      <x:c r="M102" s="59" t="str">
        <x:f>IF(J102="","",IF(K102&gt;=J102,"จ่ายแล้ว",IF(K102&gt;0,"จ่ายบางส่วน","ยังไม่ได้จ่าย")))</x:f>
      </x:c>
      <x:c r="N102" s="22"/>
    </x:row>
    <x:row r="103" ht="21" customHeight="1">
      <x:c r="A103" s="22" t="str">
        <x:v>N17-3</x:v>
      </x:c>
      <x:c r="B103" s="22" t="str">
        <x:v>ภาคเหนือ</x:v>
      </x:c>
      <x:c r="C103" s="52"/>
      <x:c r="D103" s="52"/>
      <x:c r="E103" s="52"/>
      <x:c r="F103" s="66"/>
      <x:c r="G103" s="53"/>
      <x:c r="H103" s="53"/>
      <x:c r="I103" s="53"/>
      <x:c r="J103" s="60" t="str">
        <x:f>IF(COUNTA(C103:E103,G103:I103)=0,"",C103*$Q$2+(D103+E103)*$Q$3+G103*$Q$2+(H103+I103)*$Q$3)</x:f>
      </x:c>
      <x:c r="K103" s="61"/>
      <x:c r="L103" s="62" t="str">
        <x:f>IF(J103="","",MAX(J103-IF(K103="",0,K103),0))</x:f>
      </x:c>
      <x:c r="M103" s="59" t="str">
        <x:f>IF(J103="","",IF(K103&gt;=J103,"จ่ายแล้ว",IF(K103&gt;0,"จ่ายบางส่วน","ยังไม่ได้จ่าย")))</x:f>
      </x:c>
      <x:c r="N103" s="22"/>
    </x:row>
    <x:row r="104" ht="21" customHeight="1">
      <x:c r="A104" s="22" t="str">
        <x:v>N17-4</x:v>
      </x:c>
      <x:c r="B104" s="22" t="str">
        <x:v>ภาคเหนือ</x:v>
      </x:c>
      <x:c r="C104" s="52"/>
      <x:c r="D104" s="52"/>
      <x:c r="E104" s="52"/>
      <x:c r="F104" s="66"/>
      <x:c r="G104" s="53"/>
      <x:c r="H104" s="53"/>
      <x:c r="I104" s="53"/>
      <x:c r="J104" s="60" t="str">
        <x:f>IF(COUNTA(C104:E104,G104:I104)=0,"",C104*$Q$2+(D104+E104)*$Q$3+G104*$Q$2+(H104+I104)*$Q$3)</x:f>
      </x:c>
      <x:c r="K104" s="61"/>
      <x:c r="L104" s="62" t="str">
        <x:f>IF(J104="","",MAX(J104-IF(K104="",0,K104),0))</x:f>
      </x:c>
      <x:c r="M104" s="59" t="str">
        <x:f>IF(J104="","",IF(K104&gt;=J104,"จ่ายแล้ว",IF(K104&gt;0,"จ่ายบางส่วน","ยังไม่ได้จ่าย")))</x:f>
      </x:c>
      <x:c r="N104" s="22"/>
    </x:row>
    <x:row r="105" ht="21" customHeight="1">
      <x:c r="A105" s="22" t="str">
        <x:v>N17-5</x:v>
      </x:c>
      <x:c r="B105" s="22" t="str">
        <x:v>ภาคเหนือ</x:v>
      </x:c>
      <x:c r="C105" s="52"/>
      <x:c r="D105" s="52"/>
      <x:c r="E105" s="52"/>
      <x:c r="F105" s="66"/>
      <x:c r="G105" s="53"/>
      <x:c r="H105" s="53"/>
      <x:c r="I105" s="53"/>
      <x:c r="J105" s="60" t="str">
        <x:f>IF(COUNTA(C105:E105,G105:I105)=0,"",C105*$Q$2+(D105+E105)*$Q$3+G105*$Q$2+(H105+I105)*$Q$3)</x:f>
      </x:c>
      <x:c r="K105" s="61"/>
      <x:c r="L105" s="62" t="str">
        <x:f>IF(J105="","",MAX(J105-IF(K105="",0,K105),0))</x:f>
      </x:c>
      <x:c r="M105" s="59" t="str">
        <x:f>IF(J105="","",IF(K105&gt;=J105,"จ่ายแล้ว",IF(K105&gt;0,"จ่ายบางส่วน","ยังไม่ได้จ่าย")))</x:f>
      </x:c>
      <x:c r="N105" s="22"/>
    </x:row>
    <x:row r="106" ht="21" customHeight="1">
      <x:c r="A106" s="22" t="str">
        <x:v>N17-6</x:v>
      </x:c>
      <x:c r="B106" s="22" t="str">
        <x:v>ภาคเหนือ</x:v>
      </x:c>
      <x:c r="C106" s="52"/>
      <x:c r="D106" s="52"/>
      <x:c r="E106" s="52"/>
      <x:c r="F106" s="66"/>
      <x:c r="G106" s="53"/>
      <x:c r="H106" s="53"/>
      <x:c r="I106" s="53"/>
      <x:c r="J106" s="60" t="str">
        <x:f>IF(COUNTA(C106:E106,G106:I106)=0,"",C106*$Q$2+(D106+E106)*$Q$3+G106*$Q$2+(H106+I106)*$Q$3)</x:f>
      </x:c>
      <x:c r="K106" s="61"/>
      <x:c r="L106" s="62" t="str">
        <x:f>IF(J106="","",MAX(J106-IF(K106="",0,K106),0))</x:f>
      </x:c>
      <x:c r="M106" s="59" t="str">
        <x:f>IF(J106="","",IF(K106&gt;=J106,"จ่ายแล้ว",IF(K106&gt;0,"จ่ายบางส่วน","ยังไม่ได้จ่าย")))</x:f>
      </x:c>
      <x:c r="N106" s="22"/>
    </x:row>
  </x:sheetData>
  <x:mergeCells>
    <x:mergeCell ref="C3:E3"/>
    <x:mergeCell ref="G3:I3"/>
  </x:mergeCells>
  <x:conditionalFormatting sqref="M5:M106">
    <x:cfRule type="containsText" dxfId="10" priority="1" operator="containsText" text="จ่ายแล้ว"/>
    <x:cfRule type="containsText" dxfId="11" priority="2" operator="containsText" text="จ่ายบางส่วน"/>
    <x:cfRule type="containsText" dxfId="12" priority="3" operator="containsText" text="ยังไม่ได้จ่าย"/>
  </x:conditionalFormatting>
  <x:pageMargins left="0.7" right="0.7" top="0.75" bottom="0.75" header="0.3" footer="0.3"/>
  <x:tableParts count="1">
    <x:tablePart xmlns:r="http://schemas.openxmlformats.org/officeDocument/2006/relationships" r:id="R8e7a12ca07104b0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9" hidden="0" customWidth="1"/>
    <x:col min="4" max="4" width="9" hidden="0" customWidth="1"/>
    <x:col min="5" max="5" width="9" hidden="0" customWidth="1"/>
    <x:col min="6" max="6" width="3" hidden="0" customWidth="1"/>
    <x:col min="7" max="7" width="9" hidden="0" customWidth="1"/>
    <x:col min="9" max="9" width="9" hidden="0" customWidth="1"/>
    <x:col min="10" max="10" width="17" hidden="0" customWidth="1"/>
    <x:col min="8" max="8" width="9" hidden="0" customWidth="1"/>
    <x:col min="11" max="11" width="14" hidden="0" customWidth="1"/>
    <x:col min="12" max="12" width="14" hidden="0" customWidth="1"/>
    <x:col min="13" max="13" width="16" hidden="0" customWidth="1"/>
    <x:col min="14" max="14" width="42" hidden="0" customWidth="1"/>
    <x:col min="16" max="16" width="24" hidden="0" customWidth="1"/>
    <x:col min="17" max="17" width="12" hidden="0" customWidth="1"/>
  </x:cols>
  <x:sheetData>
    <x:row r="1" ht="20" customHeight="1">
      <x:c r="A1" s="19" t="str">
        <x:v>รหัสบูธ</x:v>
      </x:c>
      <x:c r="B1"/>
      <x:c r="C1"/>
      <x:c r="D1"/>
      <x:c r="E1"/>
      <x:c r="F1"/>
      <x:c r="G1"/>
      <x:c r="H1"/>
      <x:c r="I1"/>
      <x:c r="J1"/>
      <x:c r="P1" s="21" t="str">
        <x:v>ราคาต่อหน่วย</x:v>
      </x:c>
      <x:c r="Q1"/>
    </x:row>
    <x:row r="2">
      <x:c r="A2" s="20" t="str">
        <x:v>แปลน QD อัพเดท 18-9-69.pdf • รหัสบูธ 456 รายการ และชวนชิม 64 คูหา</x:v>
      </x:c>
      <x:c r="B2"/>
      <x:c r="C2"/>
      <x:c r="D2"/>
      <x:c r="E2"/>
      <x:c r="F2"/>
      <x:c r="G2"/>
      <x:c r="H2"/>
      <x:c r="I2"/>
      <x:c r="J2"/>
      <x:c r="P2" s="22" t="str">
        <x:v>ค่าเช่าถัง (บาท)</x:v>
      </x:c>
      <x:c r="Q2" s="69" t="n">
        <x:v>100</x:v>
      </x:c>
    </x:row>
    <x:row r="3" ht="24" customHeight="1">
      <x:c r="A3"/>
      <x:c r="B3"/>
      <x:c r="C3" s="47" t="str">
        <x:v>ยอดวันที่ 27/09/69</x:v>
      </x:c>
      <x:c r="D3" s="47"/>
      <x:c r="E3" s="47"/>
      <x:c r="F3" s="66"/>
      <x:c r="G3" s="47" t="str">
        <x:v>ยอดวันที่ 28/09/69</x:v>
      </x:c>
      <x:c r="H3" s="47"/>
      <x:c r="I3" s="47"/>
      <x:c r="J3"/>
      <x:c r="P3" s="22" t="str">
        <x:v>น้ำแข็ง/กระสอบ (บาท)</x:v>
      </x:c>
      <x:c r="Q3" s="69" t="n">
        <x:v>60</x:v>
      </x:c>
    </x:row>
    <x:row r="4" ht="25" customHeight="1">
      <x:c r="A4" s="49" t="str">
        <x:v>รหัส</x:v>
      </x:c>
      <x:c r="B4" s="49" t="str">
        <x:v>โซน</x:v>
      </x:c>
      <x:c r="C4" s="50" t="str">
        <x:v>ถัง</x:v>
      </x:c>
      <x:c r="D4" s="50" t="str">
        <x:v>เล็ก</x:v>
      </x:c>
      <x:c r="E4" s="50" t="str">
        <x:v>บด</x:v>
      </x:c>
      <x:c r="F4" s="67" t="str">
        <x:v>คั่น</x:v>
      </x:c>
      <x:c r="G4" s="50" t="str">
        <x:v>ถัง</x:v>
      </x:c>
      <x:c r="H4" s="50" t="str">
        <x:v>เล็ก</x:v>
      </x:c>
      <x:c r="I4" s="50" t="str">
        <x:v>บด</x:v>
      </x:c>
      <x:c r="J4" s="50" t="str">
        <x:v>รวมเงิน (บาท)</x:v>
      </x:c>
      <x:c r="K4" s="50" t="str">
        <x:v>ยอดชำระ</x:v>
      </x:c>
      <x:c r="L4" s="50" t="str">
        <x:v>ยอดค้าง</x:v>
      </x:c>
      <x:c r="M4" s="50" t="str">
        <x:v>สถานะ</x:v>
      </x:c>
      <x:c r="N4" s="49" t="str">
        <x:v>หมายเหตุ</x:v>
      </x:c>
    </x:row>
    <x:row r="5" ht="21" customHeight="1">
      <x:c r="A5" s="22" t="str">
        <x:v>S1-1</x:v>
      </x:c>
      <x:c r="B5" s="22" t="str">
        <x:v>ภาคใต้</x:v>
      </x:c>
      <x:c r="C5" s="52"/>
      <x:c r="D5" s="52"/>
      <x:c r="E5" s="52"/>
      <x:c r="F5" s="66"/>
      <x:c r="G5" s="53"/>
      <x:c r="H5" s="53"/>
      <x:c r="I5" s="53"/>
      <x:c r="J5" s="60" t="str">
        <x:f>IF(COUNTA(C5:E5,G5:I5)=0,"",C5*$Q$2+(D5+E5)*$Q$3+G5*$Q$2+(H5+I5)*$Q$3)</x:f>
      </x:c>
      <x:c r="K5" s="61"/>
      <x:c r="L5" s="62" t="str">
        <x:f>IF(J5="","",MAX(J5-IF(K5="",0,K5),0))</x:f>
      </x:c>
      <x:c r="M5" s="59" t="str">
        <x:f>IF(J5="","",IF(K5&gt;=J5,"จ่ายแล้ว",IF(K5&gt;0,"จ่ายบางส่วน","ยังไม่ได้จ่าย")))</x:f>
      </x:c>
      <x:c r="N5" s="22"/>
    </x:row>
    <x:row r="6" ht="21" customHeight="1">
      <x:c r="A6" s="22" t="str">
        <x:v>S1-2</x:v>
      </x:c>
      <x:c r="B6" s="22" t="str">
        <x:v>ภาคใต้</x:v>
      </x:c>
      <x:c r="C6" s="52"/>
      <x:c r="D6" s="52"/>
      <x:c r="E6" s="52"/>
      <x:c r="F6" s="66"/>
      <x:c r="G6" s="53"/>
      <x:c r="H6" s="53"/>
      <x:c r="I6" s="53"/>
      <x:c r="J6" s="60" t="str">
        <x:f>IF(COUNTA(C6:E6,G6:I6)=0,"",C6*$Q$2+(D6+E6)*$Q$3+G6*$Q$2+(H6+I6)*$Q$3)</x:f>
      </x:c>
      <x:c r="K6" s="61"/>
      <x:c r="L6" s="62" t="str">
        <x:f>IF(J6="","",MAX(J6-IF(K6="",0,K6),0))</x:f>
      </x:c>
      <x:c r="M6" s="59" t="str">
        <x:f>IF(J6="","",IF(K6&gt;=J6,"จ่ายแล้ว",IF(K6&gt;0,"จ่ายบางส่วน","ยังไม่ได้จ่าย")))</x:f>
      </x:c>
      <x:c r="N6" s="22"/>
    </x:row>
    <x:row r="7" ht="21" customHeight="1">
      <x:c r="A7" s="22" t="str">
        <x:v>S1-3</x:v>
      </x:c>
      <x:c r="B7" s="22" t="str">
        <x:v>ภาคใต้</x:v>
      </x:c>
      <x:c r="C7" s="52"/>
      <x:c r="D7" s="52"/>
      <x:c r="E7" s="52"/>
      <x:c r="F7" s="66"/>
      <x:c r="G7" s="53"/>
      <x:c r="H7" s="53"/>
      <x:c r="I7" s="53"/>
      <x:c r="J7" s="60" t="str">
        <x:f>IF(COUNTA(C7:E7,G7:I7)=0,"",C7*$Q$2+(D7+E7)*$Q$3+G7*$Q$2+(H7+I7)*$Q$3)</x:f>
      </x:c>
      <x:c r="K7" s="61"/>
      <x:c r="L7" s="62" t="str">
        <x:f>IF(J7="","",MAX(J7-IF(K7="",0,K7),0))</x:f>
      </x:c>
      <x:c r="M7" s="59" t="str">
        <x:f>IF(J7="","",IF(K7&gt;=J7,"จ่ายแล้ว",IF(K7&gt;0,"จ่ายบางส่วน","ยังไม่ได้จ่าย")))</x:f>
      </x:c>
      <x:c r="N7" s="22"/>
    </x:row>
    <x:row r="8" ht="21" customHeight="1">
      <x:c r="A8" s="22" t="str">
        <x:v>S1-4</x:v>
      </x:c>
      <x:c r="B8" s="22" t="str">
        <x:v>ภาคใต้</x:v>
      </x:c>
      <x:c r="C8" s="52"/>
      <x:c r="D8" s="52" t="n">
        <x:v>1</x:v>
      </x:c>
      <x:c r="E8" s="52"/>
      <x:c r="F8" s="66"/>
      <x:c r="G8" s="53"/>
      <x:c r="H8" s="53"/>
      <x:c r="I8" s="53"/>
      <x:c r="J8" s="60" t="n">
        <x:f>IF(COUNTA(C8:E8,G8:I8)=0,"",C8*$Q$2+(D8+E8)*$Q$3+G8*$Q$2+(H8+I8)*$Q$3)</x:f>
        <x:v>60</x:v>
      </x:c>
      <x:c r="K8" s="61" t="n">
        <x:v>0</x:v>
      </x:c>
      <x:c r="L8" s="62" t="n">
        <x:f>IF(J8="","",MAX(J8-IF(K8="",0,K8),0))</x:f>
        <x:v>60</x:v>
      </x:c>
      <x:c r="M8" s="59" t="str">
        <x:f>IF(J8="","",IF(K8&gt;=J8,"จ่ายแล้ว",IF(K8&gt;0,"จ่ายบางส่วน","ยังไม่ได้จ่าย")))</x:f>
        <x:v>ยังไม่ได้จ่าย</x:v>
      </x:c>
      <x:c r="N8" s="22"/>
    </x:row>
    <x:row r="9" ht="21" customHeight="1">
      <x:c r="A9" s="22" t="str">
        <x:v>S1-5</x:v>
      </x:c>
      <x:c r="B9" s="22" t="str">
        <x:v>ภาคใต้</x:v>
      </x:c>
      <x:c r="C9" s="52"/>
      <x:c r="D9" s="52"/>
      <x:c r="E9" s="52"/>
      <x:c r="F9" s="66"/>
      <x:c r="G9" s="53"/>
      <x:c r="H9" s="53"/>
      <x:c r="I9" s="53"/>
      <x:c r="J9" s="60" t="str">
        <x:f>IF(COUNTA(C9:E9,G9:I9)=0,"",C9*$Q$2+(D9+E9)*$Q$3+G9*$Q$2+(H9+I9)*$Q$3)</x:f>
      </x:c>
      <x:c r="K9" s="61"/>
      <x:c r="L9" s="62" t="str">
        <x:f>IF(J9="","",MAX(J9-IF(K9="",0,K9),0))</x:f>
      </x:c>
      <x:c r="M9" s="59" t="str">
        <x:f>IF(J9="","",IF(K9&gt;=J9,"จ่ายแล้ว",IF(K9&gt;0,"จ่ายบางส่วน","ยังไม่ได้จ่าย")))</x:f>
      </x:c>
      <x:c r="N9" s="22"/>
    </x:row>
    <x:row r="10" ht="21" customHeight="1">
      <x:c r="A10" s="22" t="str">
        <x:v>S1-6</x:v>
      </x:c>
      <x:c r="B10" s="22" t="str">
        <x:v>ภาคใต้</x:v>
      </x:c>
      <x:c r="C10" s="52"/>
      <x:c r="D10" s="52"/>
      <x:c r="E10" s="52"/>
      <x:c r="F10" s="66"/>
      <x:c r="G10" s="53"/>
      <x:c r="H10" s="53"/>
      <x:c r="I10" s="53"/>
      <x:c r="J10" s="60" t="str">
        <x:f>IF(COUNTA(C10:E10,G10:I10)=0,"",C10*$Q$2+(D10+E10)*$Q$3+G10*$Q$2+(H10+I10)*$Q$3)</x:f>
      </x:c>
      <x:c r="K10" s="61"/>
      <x:c r="L10" s="62" t="str">
        <x:f>IF(J10="","",MAX(J10-IF(K10="",0,K10),0))</x:f>
      </x:c>
      <x:c r="M10" s="59" t="str">
        <x:f>IF(J10="","",IF(K10&gt;=J10,"จ่ายแล้ว",IF(K10&gt;0,"จ่ายบางส่วน","ยังไม่ได้จ่าย")))</x:f>
      </x:c>
      <x:c r="N10" s="22"/>
    </x:row>
    <x:row r="11" ht="21" customHeight="1">
      <x:c r="A11" s="22" t="str">
        <x:v>S2-1</x:v>
      </x:c>
      <x:c r="B11" s="22" t="str">
        <x:v>ภาคใต้</x:v>
      </x:c>
      <x:c r="C11" s="52"/>
      <x:c r="D11" s="52"/>
      <x:c r="E11" s="52"/>
      <x:c r="F11" s="66"/>
      <x:c r="G11" s="53"/>
      <x:c r="H11" s="53"/>
      <x:c r="I11" s="53"/>
      <x:c r="J11" s="60" t="str">
        <x:f>IF(COUNTA(C11:E11,G11:I11)=0,"",C11*$Q$2+(D11+E11)*$Q$3+G11*$Q$2+(H11+I11)*$Q$3)</x:f>
      </x:c>
      <x:c r="K11" s="61"/>
      <x:c r="L11" s="62" t="str">
        <x:f>IF(J11="","",MAX(J11-IF(K11="",0,K11),0))</x:f>
      </x:c>
      <x:c r="M11" s="59" t="str">
        <x:f>IF(J11="","",IF(K11&gt;=J11,"จ่ายแล้ว",IF(K11&gt;0,"จ่ายบางส่วน","ยังไม่ได้จ่าย")))</x:f>
      </x:c>
      <x:c r="N11" s="22"/>
    </x:row>
    <x:row r="12" ht="21" customHeight="1">
      <x:c r="A12" s="22" t="str">
        <x:v>S2-2</x:v>
      </x:c>
      <x:c r="B12" s="22" t="str">
        <x:v>ภาคใต้</x:v>
      </x:c>
      <x:c r="C12" s="52"/>
      <x:c r="D12" s="52"/>
      <x:c r="E12" s="52"/>
      <x:c r="F12" s="66"/>
      <x:c r="G12" s="53"/>
      <x:c r="H12" s="53"/>
      <x:c r="I12" s="53"/>
      <x:c r="J12" s="60" t="str">
        <x:f>IF(COUNTA(C12:E12,G12:I12)=0,"",C12*$Q$2+(D12+E12)*$Q$3+G12*$Q$2+(H12+I12)*$Q$3)</x:f>
      </x:c>
      <x:c r="K12" s="61"/>
      <x:c r="L12" s="62" t="str">
        <x:f>IF(J12="","",MAX(J12-IF(K12="",0,K12),0))</x:f>
      </x:c>
      <x:c r="M12" s="59" t="str">
        <x:f>IF(J12="","",IF(K12&gt;=J12,"จ่ายแล้ว",IF(K12&gt;0,"จ่ายบางส่วน","ยังไม่ได้จ่าย")))</x:f>
      </x:c>
      <x:c r="N12" s="22"/>
    </x:row>
    <x:row r="13" ht="21" customHeight="1">
      <x:c r="A13" s="22" t="str">
        <x:v>S2-3</x:v>
      </x:c>
      <x:c r="B13" s="22" t="str">
        <x:v>ภาคใต้</x:v>
      </x:c>
      <x:c r="C13" s="52"/>
      <x:c r="D13" s="52"/>
      <x:c r="E13" s="52"/>
      <x:c r="F13" s="66"/>
      <x:c r="G13" s="53"/>
      <x:c r="H13" s="53"/>
      <x:c r="I13" s="53"/>
      <x:c r="J13" s="60" t="str">
        <x:f>IF(COUNTA(C13:E13,G13:I13)=0,"",C13*$Q$2+(D13+E13)*$Q$3+G13*$Q$2+(H13+I13)*$Q$3)</x:f>
      </x:c>
      <x:c r="K13" s="61"/>
      <x:c r="L13" s="62" t="str">
        <x:f>IF(J13="","",MAX(J13-IF(K13="",0,K13),0))</x:f>
      </x:c>
      <x:c r="M13" s="59" t="str">
        <x:f>IF(J13="","",IF(K13&gt;=J13,"จ่ายแล้ว",IF(K13&gt;0,"จ่ายบางส่วน","ยังไม่ได้จ่าย")))</x:f>
      </x:c>
      <x:c r="N13" s="22"/>
    </x:row>
    <x:row r="14" ht="21" customHeight="1">
      <x:c r="A14" s="22" t="str">
        <x:v>S2-4</x:v>
      </x:c>
      <x:c r="B14" s="22" t="str">
        <x:v>ภาคใต้</x:v>
      </x:c>
      <x:c r="C14" s="52"/>
      <x:c r="D14" s="52"/>
      <x:c r="E14" s="52"/>
      <x:c r="F14" s="66"/>
      <x:c r="G14" s="53"/>
      <x:c r="H14" s="53"/>
      <x:c r="I14" s="53"/>
      <x:c r="J14" s="60" t="str">
        <x:f>IF(COUNTA(C14:E14,G14:I14)=0,"",C14*$Q$2+(D14+E14)*$Q$3+G14*$Q$2+(H14+I14)*$Q$3)</x:f>
      </x:c>
      <x:c r="K14" s="61"/>
      <x:c r="L14" s="62" t="str">
        <x:f>IF(J14="","",MAX(J14-IF(K14="",0,K14),0))</x:f>
      </x:c>
      <x:c r="M14" s="59" t="str">
        <x:f>IF(J14="","",IF(K14&gt;=J14,"จ่ายแล้ว",IF(K14&gt;0,"จ่ายบางส่วน","ยังไม่ได้จ่าย")))</x:f>
      </x:c>
      <x:c r="N14" s="22"/>
    </x:row>
    <x:row r="15" ht="21" customHeight="1">
      <x:c r="A15" s="22" t="str">
        <x:v>S2-5</x:v>
      </x:c>
      <x:c r="B15" s="22" t="str">
        <x:v>ภาคใต้</x:v>
      </x:c>
      <x:c r="C15" s="52"/>
      <x:c r="D15" s="52"/>
      <x:c r="E15" s="52"/>
      <x:c r="F15" s="66"/>
      <x:c r="G15" s="53"/>
      <x:c r="H15" s="53"/>
      <x:c r="I15" s="53"/>
      <x:c r="J15" s="60" t="str">
        <x:f>IF(COUNTA(C15:E15,G15:I15)=0,"",C15*$Q$2+(D15+E15)*$Q$3+G15*$Q$2+(H15+I15)*$Q$3)</x:f>
      </x:c>
      <x:c r="K15" s="61"/>
      <x:c r="L15" s="62" t="str">
        <x:f>IF(J15="","",MAX(J15-IF(K15="",0,K15),0))</x:f>
      </x:c>
      <x:c r="M15" s="59" t="str">
        <x:f>IF(J15="","",IF(K15&gt;=J15,"จ่ายแล้ว",IF(K15&gt;0,"จ่ายบางส่วน","ยังไม่ได้จ่าย")))</x:f>
      </x:c>
      <x:c r="N15" s="22"/>
    </x:row>
    <x:row r="16" ht="21" customHeight="1">
      <x:c r="A16" s="22" t="str">
        <x:v>S2-6</x:v>
      </x:c>
      <x:c r="B16" s="22" t="str">
        <x:v>ภาคใต้</x:v>
      </x:c>
      <x:c r="C16" s="52"/>
      <x:c r="D16" s="52"/>
      <x:c r="E16" s="52"/>
      <x:c r="F16" s="66"/>
      <x:c r="G16" s="53"/>
      <x:c r="H16" s="53"/>
      <x:c r="I16" s="53"/>
      <x:c r="J16" s="60" t="str">
        <x:f>IF(COUNTA(C16:E16,G16:I16)=0,"",C16*$Q$2+(D16+E16)*$Q$3+G16*$Q$2+(H16+I16)*$Q$3)</x:f>
      </x:c>
      <x:c r="K16" s="61"/>
      <x:c r="L16" s="62" t="str">
        <x:f>IF(J16="","",MAX(J16-IF(K16="",0,K16),0))</x:f>
      </x:c>
      <x:c r="M16" s="59" t="str">
        <x:f>IF(J16="","",IF(K16&gt;=J16,"จ่ายแล้ว",IF(K16&gt;0,"จ่ายบางส่วน","ยังไม่ได้จ่าย")))</x:f>
      </x:c>
      <x:c r="N16" s="22"/>
    </x:row>
    <x:row r="17" ht="21" customHeight="1">
      <x:c r="A17" s="22" t="str">
        <x:v>S3-1</x:v>
      </x:c>
      <x:c r="B17" s="22" t="str">
        <x:v>ภาคใต้</x:v>
      </x:c>
      <x:c r="C17" s="52"/>
      <x:c r="D17" s="52"/>
      <x:c r="E17" s="52"/>
      <x:c r="F17" s="66"/>
      <x:c r="G17" s="53"/>
      <x:c r="H17" s="53"/>
      <x:c r="I17" s="53"/>
      <x:c r="J17" s="60" t="str">
        <x:f>IF(COUNTA(C17:E17,G17:I17)=0,"",C17*$Q$2+(D17+E17)*$Q$3+G17*$Q$2+(H17+I17)*$Q$3)</x:f>
      </x:c>
      <x:c r="K17" s="61"/>
      <x:c r="L17" s="62" t="str">
        <x:f>IF(J17="","",MAX(J17-IF(K17="",0,K17),0))</x:f>
      </x:c>
      <x:c r="M17" s="59" t="str">
        <x:f>IF(J17="","",IF(K17&gt;=J17,"จ่ายแล้ว",IF(K17&gt;0,"จ่ายบางส่วน","ยังไม่ได้จ่าย")))</x:f>
      </x:c>
      <x:c r="N17" s="22"/>
    </x:row>
    <x:row r="18" ht="21" customHeight="1">
      <x:c r="A18" s="22" t="str">
        <x:v>S3-2</x:v>
      </x:c>
      <x:c r="B18" s="22" t="str">
        <x:v>ภาคใต้</x:v>
      </x:c>
      <x:c r="C18" s="52"/>
      <x:c r="D18" s="52"/>
      <x:c r="E18" s="52"/>
      <x:c r="F18" s="66"/>
      <x:c r="G18" s="53"/>
      <x:c r="H18" s="53"/>
      <x:c r="I18" s="53"/>
      <x:c r="J18" s="60" t="str">
        <x:f>IF(COUNTA(C18:E18,G18:I18)=0,"",C18*$Q$2+(D18+E18)*$Q$3+G18*$Q$2+(H18+I18)*$Q$3)</x:f>
      </x:c>
      <x:c r="K18" s="61"/>
      <x:c r="L18" s="62" t="str">
        <x:f>IF(J18="","",MAX(J18-IF(K18="",0,K18),0))</x:f>
      </x:c>
      <x:c r="M18" s="59" t="str">
        <x:f>IF(J18="","",IF(K18&gt;=J18,"จ่ายแล้ว",IF(K18&gt;0,"จ่ายบางส่วน","ยังไม่ได้จ่าย")))</x:f>
      </x:c>
      <x:c r="N18" s="22"/>
    </x:row>
    <x:row r="19" ht="21" customHeight="1">
      <x:c r="A19" s="22" t="str">
        <x:v>S3-3</x:v>
      </x:c>
      <x:c r="B19" s="22" t="str">
        <x:v>ภาคใต้</x:v>
      </x:c>
      <x:c r="C19" s="52"/>
      <x:c r="D19" s="52"/>
      <x:c r="E19" s="52"/>
      <x:c r="F19" s="66"/>
      <x:c r="G19" s="53"/>
      <x:c r="H19" s="53"/>
      <x:c r="I19" s="53"/>
      <x:c r="J19" s="60" t="str">
        <x:f>IF(COUNTA(C19:E19,G19:I19)=0,"",C19*$Q$2+(D19+E19)*$Q$3+G19*$Q$2+(H19+I19)*$Q$3)</x:f>
      </x:c>
      <x:c r="K19" s="61"/>
      <x:c r="L19" s="62" t="str">
        <x:f>IF(J19="","",MAX(J19-IF(K19="",0,K19),0))</x:f>
      </x:c>
      <x:c r="M19" s="59" t="str">
        <x:f>IF(J19="","",IF(K19&gt;=J19,"จ่ายแล้ว",IF(K19&gt;0,"จ่ายบางส่วน","ยังไม่ได้จ่าย")))</x:f>
      </x:c>
      <x:c r="N19" s="22"/>
    </x:row>
    <x:row r="20" ht="21" customHeight="1">
      <x:c r="A20" s="22" t="str">
        <x:v>S3-4</x:v>
      </x:c>
      <x:c r="B20" s="22" t="str">
        <x:v>ภาคใต้</x:v>
      </x:c>
      <x:c r="C20" s="52"/>
      <x:c r="D20" s="52"/>
      <x:c r="E20" s="52"/>
      <x:c r="F20" s="66"/>
      <x:c r="G20" s="53"/>
      <x:c r="H20" s="53"/>
      <x:c r="I20" s="53"/>
      <x:c r="J20" s="60" t="str">
        <x:f>IF(COUNTA(C20:E20,G20:I20)=0,"",C20*$Q$2+(D20+E20)*$Q$3+G20*$Q$2+(H20+I20)*$Q$3)</x:f>
      </x:c>
      <x:c r="K20" s="61"/>
      <x:c r="L20" s="62" t="str">
        <x:f>IF(J20="","",MAX(J20-IF(K20="",0,K20),0))</x:f>
      </x:c>
      <x:c r="M20" s="59" t="str">
        <x:f>IF(J20="","",IF(K20&gt;=J20,"จ่ายแล้ว",IF(K20&gt;0,"จ่ายบางส่วน","ยังไม่ได้จ่าย")))</x:f>
      </x:c>
      <x:c r="N20" s="22"/>
    </x:row>
    <x:row r="21" ht="21" customHeight="1">
      <x:c r="A21" s="22" t="str">
        <x:v>S3-5</x:v>
      </x:c>
      <x:c r="B21" s="22" t="str">
        <x:v>ภาคใต้</x:v>
      </x:c>
      <x:c r="C21" s="52"/>
      <x:c r="D21" s="52"/>
      <x:c r="E21" s="52"/>
      <x:c r="F21" s="66"/>
      <x:c r="G21" s="53"/>
      <x:c r="H21" s="53"/>
      <x:c r="I21" s="53"/>
      <x:c r="J21" s="60" t="str">
        <x:f>IF(COUNTA(C21:E21,G21:I21)=0,"",C21*$Q$2+(D21+E21)*$Q$3+G21*$Q$2+(H21+I21)*$Q$3)</x:f>
      </x:c>
      <x:c r="K21" s="61"/>
      <x:c r="L21" s="62" t="str">
        <x:f>IF(J21="","",MAX(J21-IF(K21="",0,K21),0))</x:f>
      </x:c>
      <x:c r="M21" s="59" t="str">
        <x:f>IF(J21="","",IF(K21&gt;=J21,"จ่ายแล้ว",IF(K21&gt;0,"จ่ายบางส่วน","ยังไม่ได้จ่าย")))</x:f>
      </x:c>
      <x:c r="N21" s="22"/>
    </x:row>
    <x:row r="22" ht="21" customHeight="1">
      <x:c r="A22" s="22" t="str">
        <x:v>S3-6</x:v>
      </x:c>
      <x:c r="B22" s="22" t="str">
        <x:v>ภาคใต้</x:v>
      </x:c>
      <x:c r="C22" s="52"/>
      <x:c r="D22" s="52"/>
      <x:c r="E22" s="52"/>
      <x:c r="F22" s="66"/>
      <x:c r="G22" s="53"/>
      <x:c r="H22" s="53"/>
      <x:c r="I22" s="53"/>
      <x:c r="J22" s="60" t="str">
        <x:f>IF(COUNTA(C22:E22,G22:I22)=0,"",C22*$Q$2+(D22+E22)*$Q$3+G22*$Q$2+(H22+I22)*$Q$3)</x:f>
      </x:c>
      <x:c r="K22" s="61"/>
      <x:c r="L22" s="62" t="str">
        <x:f>IF(J22="","",MAX(J22-IF(K22="",0,K22),0))</x:f>
      </x:c>
      <x:c r="M22" s="59" t="str">
        <x:f>IF(J22="","",IF(K22&gt;=J22,"จ่ายแล้ว",IF(K22&gt;0,"จ่ายบางส่วน","ยังไม่ได้จ่าย")))</x:f>
      </x:c>
      <x:c r="N22" s="22"/>
    </x:row>
    <x:row r="23" ht="21" customHeight="1">
      <x:c r="A23" s="22" t="str">
        <x:v>S4-1</x:v>
      </x:c>
      <x:c r="B23" s="22" t="str">
        <x:v>ภาคใต้</x:v>
      </x:c>
      <x:c r="C23" s="52"/>
      <x:c r="D23" s="52"/>
      <x:c r="E23" s="52"/>
      <x:c r="F23" s="66"/>
      <x:c r="G23" s="53"/>
      <x:c r="H23" s="53"/>
      <x:c r="I23" s="53"/>
      <x:c r="J23" s="60" t="str">
        <x:f>IF(COUNTA(C23:E23,G23:I23)=0,"",C23*$Q$2+(D23+E23)*$Q$3+G23*$Q$2+(H23+I23)*$Q$3)</x:f>
      </x:c>
      <x:c r="K23" s="61"/>
      <x:c r="L23" s="62" t="str">
        <x:f>IF(J23="","",MAX(J23-IF(K23="",0,K23),0))</x:f>
      </x:c>
      <x:c r="M23" s="59" t="str">
        <x:f>IF(J23="","",IF(K23&gt;=J23,"จ่ายแล้ว",IF(K23&gt;0,"จ่ายบางส่วน","ยังไม่ได้จ่าย")))</x:f>
      </x:c>
      <x:c r="N23" s="22"/>
    </x:row>
    <x:row r="24" ht="21" customHeight="1">
      <x:c r="A24" s="22" t="str">
        <x:v>S4-2</x:v>
      </x:c>
      <x:c r="B24" s="22" t="str">
        <x:v>ภาคใต้</x:v>
      </x:c>
      <x:c r="C24" s="52"/>
      <x:c r="D24" s="52"/>
      <x:c r="E24" s="52"/>
      <x:c r="F24" s="66"/>
      <x:c r="G24" s="53"/>
      <x:c r="H24" s="53"/>
      <x:c r="I24" s="53"/>
      <x:c r="J24" s="60" t="str">
        <x:f>IF(COUNTA(C24:E24,G24:I24)=0,"",C24*$Q$2+(D24+E24)*$Q$3+G24*$Q$2+(H24+I24)*$Q$3)</x:f>
      </x:c>
      <x:c r="K24" s="61"/>
      <x:c r="L24" s="62" t="str">
        <x:f>IF(J24="","",MAX(J24-IF(K24="",0,K24),0))</x:f>
      </x:c>
      <x:c r="M24" s="59" t="str">
        <x:f>IF(J24="","",IF(K24&gt;=J24,"จ่ายแล้ว",IF(K24&gt;0,"จ่ายบางส่วน","ยังไม่ได้จ่าย")))</x:f>
      </x:c>
      <x:c r="N24" s="22"/>
    </x:row>
    <x:row r="25" ht="21" customHeight="1">
      <x:c r="A25" s="22" t="str">
        <x:v>S4-3</x:v>
      </x:c>
      <x:c r="B25" s="22" t="str">
        <x:v>ภาคใต้</x:v>
      </x:c>
      <x:c r="C25" s="52"/>
      <x:c r="D25" s="52"/>
      <x:c r="E25" s="52"/>
      <x:c r="F25" s="66"/>
      <x:c r="G25" s="53"/>
      <x:c r="H25" s="53"/>
      <x:c r="I25" s="53"/>
      <x:c r="J25" s="60" t="str">
        <x:f>IF(COUNTA(C25:E25,G25:I25)=0,"",C25*$Q$2+(D25+E25)*$Q$3+G25*$Q$2+(H25+I25)*$Q$3)</x:f>
      </x:c>
      <x:c r="K25" s="61"/>
      <x:c r="L25" s="62" t="str">
        <x:f>IF(J25="","",MAX(J25-IF(K25="",0,K25),0))</x:f>
      </x:c>
      <x:c r="M25" s="59" t="str">
        <x:f>IF(J25="","",IF(K25&gt;=J25,"จ่ายแล้ว",IF(K25&gt;0,"จ่ายบางส่วน","ยังไม่ได้จ่าย")))</x:f>
      </x:c>
      <x:c r="N25" s="22"/>
    </x:row>
    <x:row r="26" ht="21" customHeight="1">
      <x:c r="A26" s="22" t="str">
        <x:v>S4-4</x:v>
      </x:c>
      <x:c r="B26" s="22" t="str">
        <x:v>ภาคใต้</x:v>
      </x:c>
      <x:c r="C26" s="52"/>
      <x:c r="D26" s="52"/>
      <x:c r="E26" s="52"/>
      <x:c r="F26" s="66"/>
      <x:c r="G26" s="53"/>
      <x:c r="H26" s="53"/>
      <x:c r="I26" s="53"/>
      <x:c r="J26" s="60" t="str">
        <x:f>IF(COUNTA(C26:E26,G26:I26)=0,"",C26*$Q$2+(D26+E26)*$Q$3+G26*$Q$2+(H26+I26)*$Q$3)</x:f>
      </x:c>
      <x:c r="K26" s="61"/>
      <x:c r="L26" s="62" t="str">
        <x:f>IF(J26="","",MAX(J26-IF(K26="",0,K26),0))</x:f>
      </x:c>
      <x:c r="M26" s="59" t="str">
        <x:f>IF(J26="","",IF(K26&gt;=J26,"จ่ายแล้ว",IF(K26&gt;0,"จ่ายบางส่วน","ยังไม่ได้จ่าย")))</x:f>
      </x:c>
      <x:c r="N26" s="22"/>
    </x:row>
    <x:row r="27" ht="21" customHeight="1">
      <x:c r="A27" s="22" t="str">
        <x:v>S4-5</x:v>
      </x:c>
      <x:c r="B27" s="22" t="str">
        <x:v>ภาคใต้</x:v>
      </x:c>
      <x:c r="C27" s="52"/>
      <x:c r="D27" s="52"/>
      <x:c r="E27" s="52"/>
      <x:c r="F27" s="66"/>
      <x:c r="G27" s="53"/>
      <x:c r="H27" s="53"/>
      <x:c r="I27" s="53"/>
      <x:c r="J27" s="60" t="str">
        <x:f>IF(COUNTA(C27:E27,G27:I27)=0,"",C27*$Q$2+(D27+E27)*$Q$3+G27*$Q$2+(H27+I27)*$Q$3)</x:f>
      </x:c>
      <x:c r="K27" s="61"/>
      <x:c r="L27" s="62" t="str">
        <x:f>IF(J27="","",MAX(J27-IF(K27="",0,K27),0))</x:f>
      </x:c>
      <x:c r="M27" s="59" t="str">
        <x:f>IF(J27="","",IF(K27&gt;=J27,"จ่ายแล้ว",IF(K27&gt;0,"จ่ายบางส่วน","ยังไม่ได้จ่าย")))</x:f>
      </x:c>
      <x:c r="N27" s="22"/>
    </x:row>
    <x:row r="28" ht="21" customHeight="1">
      <x:c r="A28" s="22" t="str">
        <x:v>S4-6</x:v>
      </x:c>
      <x:c r="B28" s="22" t="str">
        <x:v>ภาคใต้</x:v>
      </x:c>
      <x:c r="C28" s="52"/>
      <x:c r="D28" s="52"/>
      <x:c r="E28" s="52"/>
      <x:c r="F28" s="66"/>
      <x:c r="G28" s="53"/>
      <x:c r="H28" s="53"/>
      <x:c r="I28" s="53"/>
      <x:c r="J28" s="60" t="str">
        <x:f>IF(COUNTA(C28:E28,G28:I28)=0,"",C28*$Q$2+(D28+E28)*$Q$3+G28*$Q$2+(H28+I28)*$Q$3)</x:f>
      </x:c>
      <x:c r="K28" s="61"/>
      <x:c r="L28" s="62" t="str">
        <x:f>IF(J28="","",MAX(J28-IF(K28="",0,K28),0))</x:f>
      </x:c>
      <x:c r="M28" s="59" t="str">
        <x:f>IF(J28="","",IF(K28&gt;=J28,"จ่ายแล้ว",IF(K28&gt;0,"จ่ายบางส่วน","ยังไม่ได้จ่าย")))</x:f>
      </x:c>
      <x:c r="N28" s="22"/>
    </x:row>
    <x:row r="29" ht="21" customHeight="1">
      <x:c r="A29" s="22" t="str">
        <x:v>S5-1</x:v>
      </x:c>
      <x:c r="B29" s="22" t="str">
        <x:v>ภาคใต้</x:v>
      </x:c>
      <x:c r="C29" s="52"/>
      <x:c r="D29" s="52"/>
      <x:c r="E29" s="52"/>
      <x:c r="F29" s="66"/>
      <x:c r="G29" s="53"/>
      <x:c r="H29" s="53"/>
      <x:c r="I29" s="53"/>
      <x:c r="J29" s="60" t="str">
        <x:f>IF(COUNTA(C29:E29,G29:I29)=0,"",C29*$Q$2+(D29+E29)*$Q$3+G29*$Q$2+(H29+I29)*$Q$3)</x:f>
      </x:c>
      <x:c r="K29" s="61"/>
      <x:c r="L29" s="62" t="str">
        <x:f>IF(J29="","",MAX(J29-IF(K29="",0,K29),0))</x:f>
      </x:c>
      <x:c r="M29" s="59" t="str">
        <x:f>IF(J29="","",IF(K29&gt;=J29,"จ่ายแล้ว",IF(K29&gt;0,"จ่ายบางส่วน","ยังไม่ได้จ่าย")))</x:f>
      </x:c>
      <x:c r="N29" s="22"/>
    </x:row>
    <x:row r="30" ht="21" customHeight="1">
      <x:c r="A30" s="22" t="str">
        <x:v>S5-2</x:v>
      </x:c>
      <x:c r="B30" s="22" t="str">
        <x:v>ภาคใต้</x:v>
      </x:c>
      <x:c r="C30" s="52"/>
      <x:c r="D30" s="52"/>
      <x:c r="E30" s="52"/>
      <x:c r="F30" s="66"/>
      <x:c r="G30" s="53"/>
      <x:c r="H30" s="53"/>
      <x:c r="I30" s="53"/>
      <x:c r="J30" s="60" t="str">
        <x:f>IF(COUNTA(C30:E30,G30:I30)=0,"",C30*$Q$2+(D30+E30)*$Q$3+G30*$Q$2+(H30+I30)*$Q$3)</x:f>
      </x:c>
      <x:c r="K30" s="61"/>
      <x:c r="L30" s="62" t="str">
        <x:f>IF(J30="","",MAX(J30-IF(K30="",0,K30),0))</x:f>
      </x:c>
      <x:c r="M30" s="59" t="str">
        <x:f>IF(J30="","",IF(K30&gt;=J30,"จ่ายแล้ว",IF(K30&gt;0,"จ่ายบางส่วน","ยังไม่ได้จ่าย")))</x:f>
      </x:c>
      <x:c r="N30" s="22"/>
    </x:row>
    <x:row r="31" ht="21" customHeight="1">
      <x:c r="A31" s="22" t="str">
        <x:v>S5-3</x:v>
      </x:c>
      <x:c r="B31" s="22" t="str">
        <x:v>ภาคใต้</x:v>
      </x:c>
      <x:c r="C31" s="52"/>
      <x:c r="D31" s="52"/>
      <x:c r="E31" s="52"/>
      <x:c r="F31" s="66"/>
      <x:c r="G31" s="53"/>
      <x:c r="H31" s="53"/>
      <x:c r="I31" s="53"/>
      <x:c r="J31" s="60" t="str">
        <x:f>IF(COUNTA(C31:E31,G31:I31)=0,"",C31*$Q$2+(D31+E31)*$Q$3+G31*$Q$2+(H31+I31)*$Q$3)</x:f>
      </x:c>
      <x:c r="K31" s="61"/>
      <x:c r="L31" s="62" t="str">
        <x:f>IF(J31="","",MAX(J31-IF(K31="",0,K31),0))</x:f>
      </x:c>
      <x:c r="M31" s="59" t="str">
        <x:f>IF(J31="","",IF(K31&gt;=J31,"จ่ายแล้ว",IF(K31&gt;0,"จ่ายบางส่วน","ยังไม่ได้จ่าย")))</x:f>
      </x:c>
      <x:c r="N31" s="22"/>
    </x:row>
    <x:row r="32" ht="21" customHeight="1">
      <x:c r="A32" s="22" t="str">
        <x:v>S5-4</x:v>
      </x:c>
      <x:c r="B32" s="22" t="str">
        <x:v>ภาคใต้</x:v>
      </x:c>
      <x:c r="C32" s="52"/>
      <x:c r="D32" s="52"/>
      <x:c r="E32" s="52"/>
      <x:c r="F32" s="66"/>
      <x:c r="G32" s="53"/>
      <x:c r="H32" s="53"/>
      <x:c r="I32" s="53"/>
      <x:c r="J32" s="60" t="str">
        <x:f>IF(COUNTA(C32:E32,G32:I32)=0,"",C32*$Q$2+(D32+E32)*$Q$3+G32*$Q$2+(H32+I32)*$Q$3)</x:f>
      </x:c>
      <x:c r="K32" s="61"/>
      <x:c r="L32" s="62" t="str">
        <x:f>IF(J32="","",MAX(J32-IF(K32="",0,K32),0))</x:f>
      </x:c>
      <x:c r="M32" s="59" t="str">
        <x:f>IF(J32="","",IF(K32&gt;=J32,"จ่ายแล้ว",IF(K32&gt;0,"จ่ายบางส่วน","ยังไม่ได้จ่าย")))</x:f>
      </x:c>
      <x:c r="N32" s="22"/>
    </x:row>
    <x:row r="33" ht="21" customHeight="1">
      <x:c r="A33" s="22" t="str">
        <x:v>S5-5</x:v>
      </x:c>
      <x:c r="B33" s="22" t="str">
        <x:v>ภาคใต้</x:v>
      </x:c>
      <x:c r="C33" s="52"/>
      <x:c r="D33" s="52"/>
      <x:c r="E33" s="52"/>
      <x:c r="F33" s="66"/>
      <x:c r="G33" s="53"/>
      <x:c r="H33" s="53"/>
      <x:c r="I33" s="53"/>
      <x:c r="J33" s="60" t="str">
        <x:f>IF(COUNTA(C33:E33,G33:I33)=0,"",C33*$Q$2+(D33+E33)*$Q$3+G33*$Q$2+(H33+I33)*$Q$3)</x:f>
      </x:c>
      <x:c r="K33" s="61"/>
      <x:c r="L33" s="62" t="str">
        <x:f>IF(J33="","",MAX(J33-IF(K33="",0,K33),0))</x:f>
      </x:c>
      <x:c r="M33" s="59" t="str">
        <x:f>IF(J33="","",IF(K33&gt;=J33,"จ่ายแล้ว",IF(K33&gt;0,"จ่ายบางส่วน","ยังไม่ได้จ่าย")))</x:f>
      </x:c>
      <x:c r="N33" s="22"/>
    </x:row>
    <x:row r="34" ht="21" customHeight="1">
      <x:c r="A34" s="22" t="str">
        <x:v>S5-6</x:v>
      </x:c>
      <x:c r="B34" s="22" t="str">
        <x:v>ภาคใต้</x:v>
      </x:c>
      <x:c r="C34" s="52"/>
      <x:c r="D34" s="52"/>
      <x:c r="E34" s="52"/>
      <x:c r="F34" s="66"/>
      <x:c r="G34" s="53"/>
      <x:c r="H34" s="53"/>
      <x:c r="I34" s="53"/>
      <x:c r="J34" s="60" t="str">
        <x:f>IF(COUNTA(C34:E34,G34:I34)=0,"",C34*$Q$2+(D34+E34)*$Q$3+G34*$Q$2+(H34+I34)*$Q$3)</x:f>
      </x:c>
      <x:c r="K34" s="61"/>
      <x:c r="L34" s="62" t="str">
        <x:f>IF(J34="","",MAX(J34-IF(K34="",0,K34),0))</x:f>
      </x:c>
      <x:c r="M34" s="59" t="str">
        <x:f>IF(J34="","",IF(K34&gt;=J34,"จ่ายแล้ว",IF(K34&gt;0,"จ่ายบางส่วน","ยังไม่ได้จ่าย")))</x:f>
      </x:c>
      <x:c r="N34" s="22"/>
    </x:row>
    <x:row r="35" ht="21" customHeight="1">
      <x:c r="A35" s="22" t="str">
        <x:v>S6-1</x:v>
      </x:c>
      <x:c r="B35" s="22" t="str">
        <x:v>ภาคใต้</x:v>
      </x:c>
      <x:c r="C35" s="52"/>
      <x:c r="D35" s="52"/>
      <x:c r="E35" s="52"/>
      <x:c r="F35" s="66"/>
      <x:c r="G35" s="53"/>
      <x:c r="H35" s="53"/>
      <x:c r="I35" s="53"/>
      <x:c r="J35" s="60" t="str">
        <x:f>IF(COUNTA(C35:E35,G35:I35)=0,"",C35*$Q$2+(D35+E35)*$Q$3+G35*$Q$2+(H35+I35)*$Q$3)</x:f>
      </x:c>
      <x:c r="K35" s="61"/>
      <x:c r="L35" s="62" t="str">
        <x:f>IF(J35="","",MAX(J35-IF(K35="",0,K35),0))</x:f>
      </x:c>
      <x:c r="M35" s="59" t="str">
        <x:f>IF(J35="","",IF(K35&gt;=J35,"จ่ายแล้ว",IF(K35&gt;0,"จ่ายบางส่วน","ยังไม่ได้จ่าย")))</x:f>
      </x:c>
      <x:c r="N35" s="22"/>
    </x:row>
    <x:row r="36" ht="21" customHeight="1">
      <x:c r="A36" s="22" t="str">
        <x:v>S6-2</x:v>
      </x:c>
      <x:c r="B36" s="22" t="str">
        <x:v>ภาคใต้</x:v>
      </x:c>
      <x:c r="C36" s="52"/>
      <x:c r="D36" s="52"/>
      <x:c r="E36" s="52"/>
      <x:c r="F36" s="66"/>
      <x:c r="G36" s="53"/>
      <x:c r="H36" s="53"/>
      <x:c r="I36" s="53"/>
      <x:c r="J36" s="60" t="str">
        <x:f>IF(COUNTA(C36:E36,G36:I36)=0,"",C36*$Q$2+(D36+E36)*$Q$3+G36*$Q$2+(H36+I36)*$Q$3)</x:f>
      </x:c>
      <x:c r="K36" s="61"/>
      <x:c r="L36" s="62" t="str">
        <x:f>IF(J36="","",MAX(J36-IF(K36="",0,K36),0))</x:f>
      </x:c>
      <x:c r="M36" s="59" t="str">
        <x:f>IF(J36="","",IF(K36&gt;=J36,"จ่ายแล้ว",IF(K36&gt;0,"จ่ายบางส่วน","ยังไม่ได้จ่าย")))</x:f>
      </x:c>
      <x:c r="N36" s="22"/>
    </x:row>
    <x:row r="37" ht="21" customHeight="1">
      <x:c r="A37" s="22" t="str">
        <x:v>S6-3</x:v>
      </x:c>
      <x:c r="B37" s="22" t="str">
        <x:v>ภาคใต้</x:v>
      </x:c>
      <x:c r="C37" s="52"/>
      <x:c r="D37" s="52"/>
      <x:c r="E37" s="52"/>
      <x:c r="F37" s="66"/>
      <x:c r="G37" s="53"/>
      <x:c r="H37" s="53"/>
      <x:c r="I37" s="53"/>
      <x:c r="J37" s="60" t="str">
        <x:f>IF(COUNTA(C37:E37,G37:I37)=0,"",C37*$Q$2+(D37+E37)*$Q$3+G37*$Q$2+(H37+I37)*$Q$3)</x:f>
      </x:c>
      <x:c r="K37" s="61"/>
      <x:c r="L37" s="62" t="str">
        <x:f>IF(J37="","",MAX(J37-IF(K37="",0,K37),0))</x:f>
      </x:c>
      <x:c r="M37" s="59" t="str">
        <x:f>IF(J37="","",IF(K37&gt;=J37,"จ่ายแล้ว",IF(K37&gt;0,"จ่ายบางส่วน","ยังไม่ได้จ่าย")))</x:f>
      </x:c>
      <x:c r="N37" s="22"/>
    </x:row>
    <x:row r="38" ht="21" customHeight="1">
      <x:c r="A38" s="22" t="str">
        <x:v>S6-4</x:v>
      </x:c>
      <x:c r="B38" s="22" t="str">
        <x:v>ภาคใต้</x:v>
      </x:c>
      <x:c r="C38" s="52"/>
      <x:c r="D38" s="52"/>
      <x:c r="E38" s="52"/>
      <x:c r="F38" s="66"/>
      <x:c r="G38" s="53"/>
      <x:c r="H38" s="53"/>
      <x:c r="I38" s="53"/>
      <x:c r="J38" s="60" t="str">
        <x:f>IF(COUNTA(C38:E38,G38:I38)=0,"",C38*$Q$2+(D38+E38)*$Q$3+G38*$Q$2+(H38+I38)*$Q$3)</x:f>
      </x:c>
      <x:c r="K38" s="61"/>
      <x:c r="L38" s="62" t="str">
        <x:f>IF(J38="","",MAX(J38-IF(K38="",0,K38),0))</x:f>
      </x:c>
      <x:c r="M38" s="59" t="str">
        <x:f>IF(J38="","",IF(K38&gt;=J38,"จ่ายแล้ว",IF(K38&gt;0,"จ่ายบางส่วน","ยังไม่ได้จ่าย")))</x:f>
      </x:c>
      <x:c r="N38" s="22"/>
    </x:row>
    <x:row r="39" ht="21" customHeight="1">
      <x:c r="A39" s="22" t="str">
        <x:v>S6-5</x:v>
      </x:c>
      <x:c r="B39" s="22" t="str">
        <x:v>ภาคใต้</x:v>
      </x:c>
      <x:c r="C39" s="52"/>
      <x:c r="D39" s="52"/>
      <x:c r="E39" s="52"/>
      <x:c r="F39" s="66"/>
      <x:c r="G39" s="53"/>
      <x:c r="H39" s="53"/>
      <x:c r="I39" s="53"/>
      <x:c r="J39" s="60" t="str">
        <x:f>IF(COUNTA(C39:E39,G39:I39)=0,"",C39*$Q$2+(D39+E39)*$Q$3+G39*$Q$2+(H39+I39)*$Q$3)</x:f>
      </x:c>
      <x:c r="K39" s="61"/>
      <x:c r="L39" s="62" t="str">
        <x:f>IF(J39="","",MAX(J39-IF(K39="",0,K39),0))</x:f>
      </x:c>
      <x:c r="M39" s="59" t="str">
        <x:f>IF(J39="","",IF(K39&gt;=J39,"จ่ายแล้ว",IF(K39&gt;0,"จ่ายบางส่วน","ยังไม่ได้จ่าย")))</x:f>
      </x:c>
      <x:c r="N39" s="22"/>
    </x:row>
    <x:row r="40" ht="21" customHeight="1">
      <x:c r="A40" s="22" t="str">
        <x:v>S6-6</x:v>
      </x:c>
      <x:c r="B40" s="22" t="str">
        <x:v>ภาคใต้</x:v>
      </x:c>
      <x:c r="C40" s="52"/>
      <x:c r="D40" s="52"/>
      <x:c r="E40" s="52"/>
      <x:c r="F40" s="66"/>
      <x:c r="G40" s="53"/>
      <x:c r="H40" s="53"/>
      <x:c r="I40" s="53"/>
      <x:c r="J40" s="60" t="str">
        <x:f>IF(COUNTA(C40:E40,G40:I40)=0,"",C40*$Q$2+(D40+E40)*$Q$3+G40*$Q$2+(H40+I40)*$Q$3)</x:f>
      </x:c>
      <x:c r="K40" s="61"/>
      <x:c r="L40" s="62" t="str">
        <x:f>IF(J40="","",MAX(J40-IF(K40="",0,K40),0))</x:f>
      </x:c>
      <x:c r="M40" s="59" t="str">
        <x:f>IF(J40="","",IF(K40&gt;=J40,"จ่ายแล้ว",IF(K40&gt;0,"จ่ายบางส่วน","ยังไม่ได้จ่าย")))</x:f>
      </x:c>
      <x:c r="N40" s="22"/>
    </x:row>
    <x:row r="41" ht="21" customHeight="1">
      <x:c r="A41" s="22" t="str">
        <x:v>S7-1</x:v>
      </x:c>
      <x:c r="B41" s="22" t="str">
        <x:v>ภาคใต้</x:v>
      </x:c>
      <x:c r="C41" s="52"/>
      <x:c r="D41" s="52"/>
      <x:c r="E41" s="52"/>
      <x:c r="F41" s="66"/>
      <x:c r="G41" s="53"/>
      <x:c r="H41" s="53"/>
      <x:c r="I41" s="53"/>
      <x:c r="J41" s="60" t="str">
        <x:f>IF(COUNTA(C41:E41,G41:I41)=0,"",C41*$Q$2+(D41+E41)*$Q$3+G41*$Q$2+(H41+I41)*$Q$3)</x:f>
      </x:c>
      <x:c r="K41" s="61"/>
      <x:c r="L41" s="62" t="str">
        <x:f>IF(J41="","",MAX(J41-IF(K41="",0,K41),0))</x:f>
      </x:c>
      <x:c r="M41" s="59" t="str">
        <x:f>IF(J41="","",IF(K41&gt;=J41,"จ่ายแล้ว",IF(K41&gt;0,"จ่ายบางส่วน","ยังไม่ได้จ่าย")))</x:f>
      </x:c>
      <x:c r="N41" s="22"/>
    </x:row>
    <x:row r="42" ht="21" customHeight="1">
      <x:c r="A42" s="22" t="str">
        <x:v>S7-2</x:v>
      </x:c>
      <x:c r="B42" s="22" t="str">
        <x:v>ภาคใต้</x:v>
      </x:c>
      <x:c r="C42" s="52"/>
      <x:c r="D42" s="52"/>
      <x:c r="E42" s="52"/>
      <x:c r="F42" s="66"/>
      <x:c r="G42" s="53"/>
      <x:c r="H42" s="53"/>
      <x:c r="I42" s="53"/>
      <x:c r="J42" s="60" t="str">
        <x:f>IF(COUNTA(C42:E42,G42:I42)=0,"",C42*$Q$2+(D42+E42)*$Q$3+G42*$Q$2+(H42+I42)*$Q$3)</x:f>
      </x:c>
      <x:c r="K42" s="61"/>
      <x:c r="L42" s="62" t="str">
        <x:f>IF(J42="","",MAX(J42-IF(K42="",0,K42),0))</x:f>
      </x:c>
      <x:c r="M42" s="59" t="str">
        <x:f>IF(J42="","",IF(K42&gt;=J42,"จ่ายแล้ว",IF(K42&gt;0,"จ่ายบางส่วน","ยังไม่ได้จ่าย")))</x:f>
      </x:c>
      <x:c r="N42" s="22"/>
    </x:row>
    <x:row r="43" ht="21" customHeight="1">
      <x:c r="A43" s="22" t="str">
        <x:v>S7-3</x:v>
      </x:c>
      <x:c r="B43" s="22" t="str">
        <x:v>ภาคใต้</x:v>
      </x:c>
      <x:c r="C43" s="52"/>
      <x:c r="D43" s="52"/>
      <x:c r="E43" s="52" t="n">
        <x:v>2</x:v>
      </x:c>
      <x:c r="F43" s="66"/>
      <x:c r="G43" s="53"/>
      <x:c r="H43" s="53"/>
      <x:c r="I43" s="53"/>
      <x:c r="J43" s="60" t="n">
        <x:f>IF(COUNTA(C43:E43,G43:I43)=0,"",C43*$Q$2+(D43+E43)*$Q$3+G43*$Q$2+(H43+I43)*$Q$3)</x:f>
        <x:v>120</x:v>
      </x:c>
      <x:c r="K43" s="61" t="n">
        <x:v>0</x:v>
      </x:c>
      <x:c r="L43" s="62" t="n">
        <x:f>IF(J43="","",MAX(J43-IF(K43="",0,K43),0))</x:f>
        <x:v>120</x:v>
      </x:c>
      <x:c r="M43" s="59" t="str">
        <x:f>IF(J43="","",IF(K43&gt;=J43,"จ่ายแล้ว",IF(K43&gt;0,"จ่ายบางส่วน","ยังไม่ได้จ่าย")))</x:f>
        <x:v>ยังไม่ได้จ่าย</x:v>
      </x:c>
      <x:c r="N43" s="22"/>
    </x:row>
    <x:row r="44" ht="21" customHeight="1">
      <x:c r="A44" s="22" t="str">
        <x:v>S7-4</x:v>
      </x:c>
      <x:c r="B44" s="22" t="str">
        <x:v>ภาคใต้</x:v>
      </x:c>
      <x:c r="C44" s="52"/>
      <x:c r="D44" s="52"/>
      <x:c r="E44" s="52"/>
      <x:c r="F44" s="66"/>
      <x:c r="G44" s="53"/>
      <x:c r="H44" s="53"/>
      <x:c r="I44" s="53"/>
      <x:c r="J44" s="60" t="str">
        <x:f>IF(COUNTA(C44:E44,G44:I44)=0,"",C44*$Q$2+(D44+E44)*$Q$3+G44*$Q$2+(H44+I44)*$Q$3)</x:f>
      </x:c>
      <x:c r="K44" s="61"/>
      <x:c r="L44" s="62" t="str">
        <x:f>IF(J44="","",MAX(J44-IF(K44="",0,K44),0))</x:f>
      </x:c>
      <x:c r="M44" s="59" t="str">
        <x:f>IF(J44="","",IF(K44&gt;=J44,"จ่ายแล้ว",IF(K44&gt;0,"จ่ายบางส่วน","ยังไม่ได้จ่าย")))</x:f>
      </x:c>
      <x:c r="N44" s="22"/>
    </x:row>
    <x:row r="45" ht="21" customHeight="1">
      <x:c r="A45" s="22" t="str">
        <x:v>S7-5</x:v>
      </x:c>
      <x:c r="B45" s="22" t="str">
        <x:v>ภาคใต้</x:v>
      </x:c>
      <x:c r="C45" s="52"/>
      <x:c r="D45" s="52"/>
      <x:c r="E45" s="52"/>
      <x:c r="F45" s="66"/>
      <x:c r="G45" s="53"/>
      <x:c r="H45" s="53"/>
      <x:c r="I45" s="53"/>
      <x:c r="J45" s="60" t="str">
        <x:f>IF(COUNTA(C45:E45,G45:I45)=0,"",C45*$Q$2+(D45+E45)*$Q$3+G45*$Q$2+(H45+I45)*$Q$3)</x:f>
      </x:c>
      <x:c r="K45" s="61"/>
      <x:c r="L45" s="62" t="str">
        <x:f>IF(J45="","",MAX(J45-IF(K45="",0,K45),0))</x:f>
      </x:c>
      <x:c r="M45" s="59" t="str">
        <x:f>IF(J45="","",IF(K45&gt;=J45,"จ่ายแล้ว",IF(K45&gt;0,"จ่ายบางส่วน","ยังไม่ได้จ่าย")))</x:f>
      </x:c>
      <x:c r="N45" s="22"/>
    </x:row>
    <x:row r="46" ht="21" customHeight="1">
      <x:c r="A46" s="22" t="str">
        <x:v>S7-6</x:v>
      </x:c>
      <x:c r="B46" s="22" t="str">
        <x:v>ภาคใต้</x:v>
      </x:c>
      <x:c r="C46" s="52"/>
      <x:c r="D46" s="52"/>
      <x:c r="E46" s="52"/>
      <x:c r="F46" s="66"/>
      <x:c r="G46" s="53"/>
      <x:c r="H46" s="53"/>
      <x:c r="I46" s="53"/>
      <x:c r="J46" s="60" t="str">
        <x:f>IF(COUNTA(C46:E46,G46:I46)=0,"",C46*$Q$2+(D46+E46)*$Q$3+G46*$Q$2+(H46+I46)*$Q$3)</x:f>
      </x:c>
      <x:c r="K46" s="61"/>
      <x:c r="L46" s="62" t="str">
        <x:f>IF(J46="","",MAX(J46-IF(K46="",0,K46),0))</x:f>
      </x:c>
      <x:c r="M46" s="59" t="str">
        <x:f>IF(J46="","",IF(K46&gt;=J46,"จ่ายแล้ว",IF(K46&gt;0,"จ่ายบางส่วน","ยังไม่ได้จ่าย")))</x:f>
      </x:c>
      <x:c r="N46" s="22"/>
    </x:row>
    <x:row r="47" ht="21" customHeight="1">
      <x:c r="A47" s="22" t="str">
        <x:v>S8-1</x:v>
      </x:c>
      <x:c r="B47" s="22" t="str">
        <x:v>ภาคใต้</x:v>
      </x:c>
      <x:c r="C47" s="52"/>
      <x:c r="D47" s="52"/>
      <x:c r="E47" s="52"/>
      <x:c r="F47" s="66"/>
      <x:c r="G47" s="53"/>
      <x:c r="H47" s="53"/>
      <x:c r="I47" s="53"/>
      <x:c r="J47" s="60" t="str">
        <x:f>IF(COUNTA(C47:E47,G47:I47)=0,"",C47*$Q$2+(D47+E47)*$Q$3+G47*$Q$2+(H47+I47)*$Q$3)</x:f>
      </x:c>
      <x:c r="K47" s="61"/>
      <x:c r="L47" s="62" t="str">
        <x:f>IF(J47="","",MAX(J47-IF(K47="",0,K47),0))</x:f>
      </x:c>
      <x:c r="M47" s="59" t="str">
        <x:f>IF(J47="","",IF(K47&gt;=J47,"จ่ายแล้ว",IF(K47&gt;0,"จ่ายบางส่วน","ยังไม่ได้จ่าย")))</x:f>
      </x:c>
      <x:c r="N47" s="22"/>
    </x:row>
    <x:row r="48" ht="21" customHeight="1">
      <x:c r="A48" s="22" t="str">
        <x:v>S8-2</x:v>
      </x:c>
      <x:c r="B48" s="22" t="str">
        <x:v>ภาคใต้</x:v>
      </x:c>
      <x:c r="C48" s="52"/>
      <x:c r="D48" s="52"/>
      <x:c r="E48" s="52"/>
      <x:c r="F48" s="66"/>
      <x:c r="G48" s="53"/>
      <x:c r="H48" s="53"/>
      <x:c r="I48" s="53"/>
      <x:c r="J48" s="60" t="str">
        <x:f>IF(COUNTA(C48:E48,G48:I48)=0,"",C48*$Q$2+(D48+E48)*$Q$3+G48*$Q$2+(H48+I48)*$Q$3)</x:f>
      </x:c>
      <x:c r="K48" s="61"/>
      <x:c r="L48" s="62" t="str">
        <x:f>IF(J48="","",MAX(J48-IF(K48="",0,K48),0))</x:f>
      </x:c>
      <x:c r="M48" s="59" t="str">
        <x:f>IF(J48="","",IF(K48&gt;=J48,"จ่ายแล้ว",IF(K48&gt;0,"จ่ายบางส่วน","ยังไม่ได้จ่าย")))</x:f>
      </x:c>
      <x:c r="N48" s="22"/>
    </x:row>
    <x:row r="49" ht="21" customHeight="1">
      <x:c r="A49" s="22" t="str">
        <x:v>S8-3</x:v>
      </x:c>
      <x:c r="B49" s="22" t="str">
        <x:v>ภาคใต้</x:v>
      </x:c>
      <x:c r="C49" s="52"/>
      <x:c r="D49" s="52"/>
      <x:c r="E49" s="52"/>
      <x:c r="F49" s="66"/>
      <x:c r="G49" s="53"/>
      <x:c r="H49" s="53"/>
      <x:c r="I49" s="53"/>
      <x:c r="J49" s="60" t="str">
        <x:f>IF(COUNTA(C49:E49,G49:I49)=0,"",C49*$Q$2+(D49+E49)*$Q$3+G49*$Q$2+(H49+I49)*$Q$3)</x:f>
      </x:c>
      <x:c r="K49" s="61"/>
      <x:c r="L49" s="62" t="str">
        <x:f>IF(J49="","",MAX(J49-IF(K49="",0,K49),0))</x:f>
      </x:c>
      <x:c r="M49" s="59" t="str">
        <x:f>IF(J49="","",IF(K49&gt;=J49,"จ่ายแล้ว",IF(K49&gt;0,"จ่ายบางส่วน","ยังไม่ได้จ่าย")))</x:f>
      </x:c>
      <x:c r="N49" s="22"/>
    </x:row>
    <x:row r="50" ht="21" customHeight="1">
      <x:c r="A50" s="22" t="str">
        <x:v>S8-4</x:v>
      </x:c>
      <x:c r="B50" s="22" t="str">
        <x:v>ภาคใต้</x:v>
      </x:c>
      <x:c r="C50" s="52"/>
      <x:c r="D50" s="52"/>
      <x:c r="E50" s="52"/>
      <x:c r="F50" s="66"/>
      <x:c r="G50" s="53"/>
      <x:c r="H50" s="53"/>
      <x:c r="I50" s="53"/>
      <x:c r="J50" s="60" t="str">
        <x:f>IF(COUNTA(C50:E50,G50:I50)=0,"",C50*$Q$2+(D50+E50)*$Q$3+G50*$Q$2+(H50+I50)*$Q$3)</x:f>
      </x:c>
      <x:c r="K50" s="61"/>
      <x:c r="L50" s="62" t="str">
        <x:f>IF(J50="","",MAX(J50-IF(K50="",0,K50),0))</x:f>
      </x:c>
      <x:c r="M50" s="59" t="str">
        <x:f>IF(J50="","",IF(K50&gt;=J50,"จ่ายแล้ว",IF(K50&gt;0,"จ่ายบางส่วน","ยังไม่ได้จ่าย")))</x:f>
      </x:c>
      <x:c r="N50" s="22"/>
    </x:row>
    <x:row r="51" ht="21" customHeight="1">
      <x:c r="A51" s="22" t="str">
        <x:v>S8-5</x:v>
      </x:c>
      <x:c r="B51" s="22" t="str">
        <x:v>ภาคใต้</x:v>
      </x:c>
      <x:c r="C51" s="52"/>
      <x:c r="D51" s="52"/>
      <x:c r="E51" s="52"/>
      <x:c r="F51" s="66"/>
      <x:c r="G51" s="53"/>
      <x:c r="H51" s="53"/>
      <x:c r="I51" s="53"/>
      <x:c r="J51" s="60" t="str">
        <x:f>IF(COUNTA(C51:E51,G51:I51)=0,"",C51*$Q$2+(D51+E51)*$Q$3+G51*$Q$2+(H51+I51)*$Q$3)</x:f>
      </x:c>
      <x:c r="K51" s="61"/>
      <x:c r="L51" s="62" t="str">
        <x:f>IF(J51="","",MAX(J51-IF(K51="",0,K51),0))</x:f>
      </x:c>
      <x:c r="M51" s="59" t="str">
        <x:f>IF(J51="","",IF(K51&gt;=J51,"จ่ายแล้ว",IF(K51&gt;0,"จ่ายบางส่วน","ยังไม่ได้จ่าย")))</x:f>
      </x:c>
      <x:c r="N51" s="22"/>
    </x:row>
    <x:row r="52" ht="21" customHeight="1">
      <x:c r="A52" s="22" t="str">
        <x:v>S8-6</x:v>
      </x:c>
      <x:c r="B52" s="22" t="str">
        <x:v>ภาคใต้</x:v>
      </x:c>
      <x:c r="C52" s="52"/>
      <x:c r="D52" s="52"/>
      <x:c r="E52" s="52"/>
      <x:c r="F52" s="66"/>
      <x:c r="G52" s="53"/>
      <x:c r="H52" s="53"/>
      <x:c r="I52" s="53"/>
      <x:c r="J52" s="60" t="str">
        <x:f>IF(COUNTA(C52:E52,G52:I52)=0,"",C52*$Q$2+(D52+E52)*$Q$3+G52*$Q$2+(H52+I52)*$Q$3)</x:f>
      </x:c>
      <x:c r="K52" s="61"/>
      <x:c r="L52" s="62" t="str">
        <x:f>IF(J52="","",MAX(J52-IF(K52="",0,K52),0))</x:f>
      </x:c>
      <x:c r="M52" s="59" t="str">
        <x:f>IF(J52="","",IF(K52&gt;=J52,"จ่ายแล้ว",IF(K52&gt;0,"จ่ายบางส่วน","ยังไม่ได้จ่าย")))</x:f>
      </x:c>
      <x:c r="N52" s="22"/>
    </x:row>
    <x:row r="53" ht="21" customHeight="1">
      <x:c r="A53" s="22" t="str">
        <x:v>S9-1</x:v>
      </x:c>
      <x:c r="B53" s="22" t="str">
        <x:v>ภาคใต้</x:v>
      </x:c>
      <x:c r="C53" s="52"/>
      <x:c r="D53" s="52"/>
      <x:c r="E53" s="52"/>
      <x:c r="F53" s="66"/>
      <x:c r="G53" s="53"/>
      <x:c r="H53" s="53"/>
      <x:c r="I53" s="53"/>
      <x:c r="J53" s="60" t="str">
        <x:f>IF(COUNTA(C53:E53,G53:I53)=0,"",C53*$Q$2+(D53+E53)*$Q$3+G53*$Q$2+(H53+I53)*$Q$3)</x:f>
      </x:c>
      <x:c r="K53" s="61"/>
      <x:c r="L53" s="62" t="str">
        <x:f>IF(J53="","",MAX(J53-IF(K53="",0,K53),0))</x:f>
      </x:c>
      <x:c r="M53" s="59" t="str">
        <x:f>IF(J53="","",IF(K53&gt;=J53,"จ่ายแล้ว",IF(K53&gt;0,"จ่ายบางส่วน","ยังไม่ได้จ่าย")))</x:f>
      </x:c>
      <x:c r="N53" s="22"/>
    </x:row>
    <x:row r="54" ht="21" customHeight="1">
      <x:c r="A54" s="22" t="str">
        <x:v>S9-2</x:v>
      </x:c>
      <x:c r="B54" s="22" t="str">
        <x:v>ภาคใต้</x:v>
      </x:c>
      <x:c r="C54" s="52"/>
      <x:c r="D54" s="52"/>
      <x:c r="E54" s="52"/>
      <x:c r="F54" s="66"/>
      <x:c r="G54" s="53"/>
      <x:c r="H54" s="53"/>
      <x:c r="I54" s="53"/>
      <x:c r="J54" s="60" t="str">
        <x:f>IF(COUNTA(C54:E54,G54:I54)=0,"",C54*$Q$2+(D54+E54)*$Q$3+G54*$Q$2+(H54+I54)*$Q$3)</x:f>
      </x:c>
      <x:c r="K54" s="61"/>
      <x:c r="L54" s="62" t="str">
        <x:f>IF(J54="","",MAX(J54-IF(K54="",0,K54),0))</x:f>
      </x:c>
      <x:c r="M54" s="59" t="str">
        <x:f>IF(J54="","",IF(K54&gt;=J54,"จ่ายแล้ว",IF(K54&gt;0,"จ่ายบางส่วน","ยังไม่ได้จ่าย")))</x:f>
      </x:c>
      <x:c r="N54" s="22"/>
    </x:row>
    <x:row r="55" ht="21" customHeight="1">
      <x:c r="A55" s="22" t="str">
        <x:v>S9-3</x:v>
      </x:c>
      <x:c r="B55" s="22" t="str">
        <x:v>ภาคใต้</x:v>
      </x:c>
      <x:c r="C55" s="52"/>
      <x:c r="D55" s="52"/>
      <x:c r="E55" s="52"/>
      <x:c r="F55" s="66"/>
      <x:c r="G55" s="53"/>
      <x:c r="H55" s="53"/>
      <x:c r="I55" s="53"/>
      <x:c r="J55" s="60" t="str">
        <x:f>IF(COUNTA(C55:E55,G55:I55)=0,"",C55*$Q$2+(D55+E55)*$Q$3+G55*$Q$2+(H55+I55)*$Q$3)</x:f>
      </x:c>
      <x:c r="K55" s="61"/>
      <x:c r="L55" s="62" t="str">
        <x:f>IF(J55="","",MAX(J55-IF(K55="",0,K55),0))</x:f>
      </x:c>
      <x:c r="M55" s="59" t="str">
        <x:f>IF(J55="","",IF(K55&gt;=J55,"จ่ายแล้ว",IF(K55&gt;0,"จ่ายบางส่วน","ยังไม่ได้จ่าย")))</x:f>
      </x:c>
      <x:c r="N55" s="22"/>
    </x:row>
    <x:row r="56" ht="21" customHeight="1">
      <x:c r="A56" s="22" t="str">
        <x:v>S9-4</x:v>
      </x:c>
      <x:c r="B56" s="22" t="str">
        <x:v>ภาคใต้</x:v>
      </x:c>
      <x:c r="C56" s="52"/>
      <x:c r="D56" s="52"/>
      <x:c r="E56" s="52"/>
      <x:c r="F56" s="66"/>
      <x:c r="G56" s="53"/>
      <x:c r="H56" s="53"/>
      <x:c r="I56" s="53"/>
      <x:c r="J56" s="60" t="str">
        <x:f>IF(COUNTA(C56:E56,G56:I56)=0,"",C56*$Q$2+(D56+E56)*$Q$3+G56*$Q$2+(H56+I56)*$Q$3)</x:f>
      </x:c>
      <x:c r="K56" s="61"/>
      <x:c r="L56" s="62" t="str">
        <x:f>IF(J56="","",MAX(J56-IF(K56="",0,K56),0))</x:f>
      </x:c>
      <x:c r="M56" s="59" t="str">
        <x:f>IF(J56="","",IF(K56&gt;=J56,"จ่ายแล้ว",IF(K56&gt;0,"จ่ายบางส่วน","ยังไม่ได้จ่าย")))</x:f>
      </x:c>
      <x:c r="N56" s="22"/>
    </x:row>
    <x:row r="57" ht="21" customHeight="1">
      <x:c r="A57" s="22" t="str">
        <x:v>S9-5</x:v>
      </x:c>
      <x:c r="B57" s="22" t="str">
        <x:v>ภาคใต้</x:v>
      </x:c>
      <x:c r="C57" s="52"/>
      <x:c r="D57" s="52"/>
      <x:c r="E57" s="52"/>
      <x:c r="F57" s="66"/>
      <x:c r="G57" s="53"/>
      <x:c r="H57" s="53"/>
      <x:c r="I57" s="53"/>
      <x:c r="J57" s="60" t="str">
        <x:f>IF(COUNTA(C57:E57,G57:I57)=0,"",C57*$Q$2+(D57+E57)*$Q$3+G57*$Q$2+(H57+I57)*$Q$3)</x:f>
      </x:c>
      <x:c r="K57" s="61"/>
      <x:c r="L57" s="62" t="str">
        <x:f>IF(J57="","",MAX(J57-IF(K57="",0,K57),0))</x:f>
      </x:c>
      <x:c r="M57" s="59" t="str">
        <x:f>IF(J57="","",IF(K57&gt;=J57,"จ่ายแล้ว",IF(K57&gt;0,"จ่ายบางส่วน","ยังไม่ได้จ่าย")))</x:f>
      </x:c>
      <x:c r="N57" s="22"/>
    </x:row>
    <x:row r="58" ht="21" customHeight="1">
      <x:c r="A58" s="22" t="str">
        <x:v>S9-6</x:v>
      </x:c>
      <x:c r="B58" s="22" t="str">
        <x:v>ภาคใต้</x:v>
      </x:c>
      <x:c r="C58" s="52"/>
      <x:c r="D58" s="52"/>
      <x:c r="E58" s="52"/>
      <x:c r="F58" s="66"/>
      <x:c r="G58" s="53"/>
      <x:c r="H58" s="53"/>
      <x:c r="I58" s="53"/>
      <x:c r="J58" s="60" t="str">
        <x:f>IF(COUNTA(C58:E58,G58:I58)=0,"",C58*$Q$2+(D58+E58)*$Q$3+G58*$Q$2+(H58+I58)*$Q$3)</x:f>
      </x:c>
      <x:c r="K58" s="61"/>
      <x:c r="L58" s="62" t="str">
        <x:f>IF(J58="","",MAX(J58-IF(K58="",0,K58),0))</x:f>
      </x:c>
      <x:c r="M58" s="59" t="str">
        <x:f>IF(J58="","",IF(K58&gt;=J58,"จ่ายแล้ว",IF(K58&gt;0,"จ่ายบางส่วน","ยังไม่ได้จ่าย")))</x:f>
      </x:c>
      <x:c r="N58" s="22"/>
    </x:row>
    <x:row r="59" ht="21" customHeight="1">
      <x:c r="A59" s="22" t="str">
        <x:v>S10-1</x:v>
      </x:c>
      <x:c r="B59" s="22" t="str">
        <x:v>ภาคใต้</x:v>
      </x:c>
      <x:c r="C59" s="52"/>
      <x:c r="D59" s="52"/>
      <x:c r="E59" s="52"/>
      <x:c r="F59" s="66"/>
      <x:c r="G59" s="53"/>
      <x:c r="H59" s="53"/>
      <x:c r="I59" s="53"/>
      <x:c r="J59" s="60" t="str">
        <x:f>IF(COUNTA(C59:E59,G59:I59)=0,"",C59*$Q$2+(D59+E59)*$Q$3+G59*$Q$2+(H59+I59)*$Q$3)</x:f>
      </x:c>
      <x:c r="K59" s="61"/>
      <x:c r="L59" s="62" t="str">
        <x:f>IF(J59="","",MAX(J59-IF(K59="",0,K59),0))</x:f>
      </x:c>
      <x:c r="M59" s="59" t="str">
        <x:f>IF(J59="","",IF(K59&gt;=J59,"จ่ายแล้ว",IF(K59&gt;0,"จ่ายบางส่วน","ยังไม่ได้จ่าย")))</x:f>
      </x:c>
      <x:c r="N59" s="22"/>
    </x:row>
    <x:row r="60" ht="21" customHeight="1">
      <x:c r="A60" s="22" t="str">
        <x:v>S10-2</x:v>
      </x:c>
      <x:c r="B60" s="22" t="str">
        <x:v>ภาคใต้</x:v>
      </x:c>
      <x:c r="C60" s="52"/>
      <x:c r="D60" s="52"/>
      <x:c r="E60" s="52"/>
      <x:c r="F60" s="66"/>
      <x:c r="G60" s="53"/>
      <x:c r="H60" s="53"/>
      <x:c r="I60" s="53"/>
      <x:c r="J60" s="60" t="str">
        <x:f>IF(COUNTA(C60:E60,G60:I60)=0,"",C60*$Q$2+(D60+E60)*$Q$3+G60*$Q$2+(H60+I60)*$Q$3)</x:f>
      </x:c>
      <x:c r="K60" s="61"/>
      <x:c r="L60" s="62" t="str">
        <x:f>IF(J60="","",MAX(J60-IF(K60="",0,K60),0))</x:f>
      </x:c>
      <x:c r="M60" s="59" t="str">
        <x:f>IF(J60="","",IF(K60&gt;=J60,"จ่ายแล้ว",IF(K60&gt;0,"จ่ายบางส่วน","ยังไม่ได้จ่าย")))</x:f>
      </x:c>
      <x:c r="N60" s="22"/>
    </x:row>
    <x:row r="61" ht="21" customHeight="1">
      <x:c r="A61" s="22" t="str">
        <x:v>S10-3</x:v>
      </x:c>
      <x:c r="B61" s="22" t="str">
        <x:v>ภาคใต้</x:v>
      </x:c>
      <x:c r="C61" s="52"/>
      <x:c r="D61" s="52"/>
      <x:c r="E61" s="52"/>
      <x:c r="F61" s="66"/>
      <x:c r="G61" s="53"/>
      <x:c r="H61" s="53"/>
      <x:c r="I61" s="53"/>
      <x:c r="J61" s="60" t="str">
        <x:f>IF(COUNTA(C61:E61,G61:I61)=0,"",C61*$Q$2+(D61+E61)*$Q$3+G61*$Q$2+(H61+I61)*$Q$3)</x:f>
      </x:c>
      <x:c r="K61" s="61"/>
      <x:c r="L61" s="62" t="str">
        <x:f>IF(J61="","",MAX(J61-IF(K61="",0,K61),0))</x:f>
      </x:c>
      <x:c r="M61" s="59" t="str">
        <x:f>IF(J61="","",IF(K61&gt;=J61,"จ่ายแล้ว",IF(K61&gt;0,"จ่ายบางส่วน","ยังไม่ได้จ่าย")))</x:f>
      </x:c>
      <x:c r="N61" s="22"/>
    </x:row>
    <x:row r="62" ht="21" customHeight="1">
      <x:c r="A62" s="22" t="str">
        <x:v>S10-4</x:v>
      </x:c>
      <x:c r="B62" s="22" t="str">
        <x:v>ภาคใต้</x:v>
      </x:c>
      <x:c r="C62" s="52"/>
      <x:c r="D62" s="52"/>
      <x:c r="E62" s="52"/>
      <x:c r="F62" s="66"/>
      <x:c r="G62" s="53"/>
      <x:c r="H62" s="53"/>
      <x:c r="I62" s="53"/>
      <x:c r="J62" s="60" t="str">
        <x:f>IF(COUNTA(C62:E62,G62:I62)=0,"",C62*$Q$2+(D62+E62)*$Q$3+G62*$Q$2+(H62+I62)*$Q$3)</x:f>
      </x:c>
      <x:c r="K62" s="61"/>
      <x:c r="L62" s="62" t="str">
        <x:f>IF(J62="","",MAX(J62-IF(K62="",0,K62),0))</x:f>
      </x:c>
      <x:c r="M62" s="59" t="str">
        <x:f>IF(J62="","",IF(K62&gt;=J62,"จ่ายแล้ว",IF(K62&gt;0,"จ่ายบางส่วน","ยังไม่ได้จ่าย")))</x:f>
      </x:c>
      <x:c r="N62" s="22"/>
    </x:row>
    <x:row r="63" ht="21" customHeight="1">
      <x:c r="A63" s="22" t="str">
        <x:v>S10-5</x:v>
      </x:c>
      <x:c r="B63" s="22" t="str">
        <x:v>ภาคใต้</x:v>
      </x:c>
      <x:c r="C63" s="52"/>
      <x:c r="D63" s="52"/>
      <x:c r="E63" s="52"/>
      <x:c r="F63" s="66"/>
      <x:c r="G63" s="53"/>
      <x:c r="H63" s="53"/>
      <x:c r="I63" s="53"/>
      <x:c r="J63" s="60" t="str">
        <x:f>IF(COUNTA(C63:E63,G63:I63)=0,"",C63*$Q$2+(D63+E63)*$Q$3+G63*$Q$2+(H63+I63)*$Q$3)</x:f>
      </x:c>
      <x:c r="K63" s="61"/>
      <x:c r="L63" s="62" t="str">
        <x:f>IF(J63="","",MAX(J63-IF(K63="",0,K63),0))</x:f>
      </x:c>
      <x:c r="M63" s="59" t="str">
        <x:f>IF(J63="","",IF(K63&gt;=J63,"จ่ายแล้ว",IF(K63&gt;0,"จ่ายบางส่วน","ยังไม่ได้จ่าย")))</x:f>
      </x:c>
      <x:c r="N63" s="22"/>
    </x:row>
    <x:row r="64" ht="21" customHeight="1">
      <x:c r="A64" s="22" t="str">
        <x:v>S10-6</x:v>
      </x:c>
      <x:c r="B64" s="22" t="str">
        <x:v>ภาคใต้</x:v>
      </x:c>
      <x:c r="C64" s="52"/>
      <x:c r="D64" s="52"/>
      <x:c r="E64" s="52"/>
      <x:c r="F64" s="66"/>
      <x:c r="G64" s="53"/>
      <x:c r="H64" s="53"/>
      <x:c r="I64" s="53"/>
      <x:c r="J64" s="60" t="str">
        <x:f>IF(COUNTA(C64:E64,G64:I64)=0,"",C64*$Q$2+(D64+E64)*$Q$3+G64*$Q$2+(H64+I64)*$Q$3)</x:f>
      </x:c>
      <x:c r="K64" s="61"/>
      <x:c r="L64" s="62" t="str">
        <x:f>IF(J64="","",MAX(J64-IF(K64="",0,K64),0))</x:f>
      </x:c>
      <x:c r="M64" s="59" t="str">
        <x:f>IF(J64="","",IF(K64&gt;=J64,"จ่ายแล้ว",IF(K64&gt;0,"จ่ายบางส่วน","ยังไม่ได้จ่าย")))</x:f>
      </x:c>
      <x:c r="N64" s="22"/>
    </x:row>
    <x:row r="65" ht="21" customHeight="1">
      <x:c r="A65" s="22" t="str">
        <x:v>S11-1</x:v>
      </x:c>
      <x:c r="B65" s="22" t="str">
        <x:v>ภาคใต้</x:v>
      </x:c>
      <x:c r="C65" s="52"/>
      <x:c r="D65" s="52"/>
      <x:c r="E65" s="52"/>
      <x:c r="F65" s="66"/>
      <x:c r="G65" s="53"/>
      <x:c r="H65" s="53"/>
      <x:c r="I65" s="53"/>
      <x:c r="J65" s="60" t="str">
        <x:f>IF(COUNTA(C65:E65,G65:I65)=0,"",C65*$Q$2+(D65+E65)*$Q$3+G65*$Q$2+(H65+I65)*$Q$3)</x:f>
      </x:c>
      <x:c r="K65" s="61"/>
      <x:c r="L65" s="62" t="str">
        <x:f>IF(J65="","",MAX(J65-IF(K65="",0,K65),0))</x:f>
      </x:c>
      <x:c r="M65" s="59" t="str">
        <x:f>IF(J65="","",IF(K65&gt;=J65,"จ่ายแล้ว",IF(K65&gt;0,"จ่ายบางส่วน","ยังไม่ได้จ่าย")))</x:f>
      </x:c>
      <x:c r="N65" s="22"/>
    </x:row>
    <x:row r="66" ht="21" customHeight="1">
      <x:c r="A66" s="22" t="str">
        <x:v>S11-2</x:v>
      </x:c>
      <x:c r="B66" s="22" t="str">
        <x:v>ภาคใต้</x:v>
      </x:c>
      <x:c r="C66" s="52"/>
      <x:c r="D66" s="52"/>
      <x:c r="E66" s="52"/>
      <x:c r="F66" s="66"/>
      <x:c r="G66" s="53"/>
      <x:c r="H66" s="53"/>
      <x:c r="I66" s="53"/>
      <x:c r="J66" s="60" t="str">
        <x:f>IF(COUNTA(C66:E66,G66:I66)=0,"",C66*$Q$2+(D66+E66)*$Q$3+G66*$Q$2+(H66+I66)*$Q$3)</x:f>
      </x:c>
      <x:c r="K66" s="61"/>
      <x:c r="L66" s="62" t="str">
        <x:f>IF(J66="","",MAX(J66-IF(K66="",0,K66),0))</x:f>
      </x:c>
      <x:c r="M66" s="59" t="str">
        <x:f>IF(J66="","",IF(K66&gt;=J66,"จ่ายแล้ว",IF(K66&gt;0,"จ่ายบางส่วน","ยังไม่ได้จ่าย")))</x:f>
      </x:c>
      <x:c r="N66" s="22"/>
    </x:row>
    <x:row r="67" ht="21" customHeight="1">
      <x:c r="A67" s="22" t="str">
        <x:v>S11-3</x:v>
      </x:c>
      <x:c r="B67" s="22" t="str">
        <x:v>ภาคใต้</x:v>
      </x:c>
      <x:c r="C67" s="52"/>
      <x:c r="D67" s="52"/>
      <x:c r="E67" s="52"/>
      <x:c r="F67" s="66"/>
      <x:c r="G67" s="53"/>
      <x:c r="H67" s="53"/>
      <x:c r="I67" s="53"/>
      <x:c r="J67" s="60" t="str">
        <x:f>IF(COUNTA(C67:E67,G67:I67)=0,"",C67*$Q$2+(D67+E67)*$Q$3+G67*$Q$2+(H67+I67)*$Q$3)</x:f>
      </x:c>
      <x:c r="K67" s="61"/>
      <x:c r="L67" s="62" t="str">
        <x:f>IF(J67="","",MAX(J67-IF(K67="",0,K67),0))</x:f>
      </x:c>
      <x:c r="M67" s="59" t="str">
        <x:f>IF(J67="","",IF(K67&gt;=J67,"จ่ายแล้ว",IF(K67&gt;0,"จ่ายบางส่วน","ยังไม่ได้จ่าย")))</x:f>
      </x:c>
      <x:c r="N67" s="22"/>
    </x:row>
    <x:row r="68" ht="21" customHeight="1">
      <x:c r="A68" s="22" t="str">
        <x:v>S11-4</x:v>
      </x:c>
      <x:c r="B68" s="22" t="str">
        <x:v>ภาคใต้</x:v>
      </x:c>
      <x:c r="C68" s="52"/>
      <x:c r="D68" s="52"/>
      <x:c r="E68" s="52"/>
      <x:c r="F68" s="66"/>
      <x:c r="G68" s="53"/>
      <x:c r="H68" s="53"/>
      <x:c r="I68" s="53"/>
      <x:c r="J68" s="60" t="str">
        <x:f>IF(COUNTA(C68:E68,G68:I68)=0,"",C68*$Q$2+(D68+E68)*$Q$3+G68*$Q$2+(H68+I68)*$Q$3)</x:f>
      </x:c>
      <x:c r="K68" s="61"/>
      <x:c r="L68" s="62" t="str">
        <x:f>IF(J68="","",MAX(J68-IF(K68="",0,K68),0))</x:f>
      </x:c>
      <x:c r="M68" s="59" t="str">
        <x:f>IF(J68="","",IF(K68&gt;=J68,"จ่ายแล้ว",IF(K68&gt;0,"จ่ายบางส่วน","ยังไม่ได้จ่าย")))</x:f>
      </x:c>
      <x:c r="N68" s="22"/>
    </x:row>
    <x:row r="69" ht="21" customHeight="1">
      <x:c r="A69" s="22" t="str">
        <x:v>S11-5</x:v>
      </x:c>
      <x:c r="B69" s="22" t="str">
        <x:v>ภาคใต้</x:v>
      </x:c>
      <x:c r="C69" s="52"/>
      <x:c r="D69" s="52"/>
      <x:c r="E69" s="52"/>
      <x:c r="F69" s="66"/>
      <x:c r="G69" s="53"/>
      <x:c r="H69" s="53"/>
      <x:c r="I69" s="53"/>
      <x:c r="J69" s="60" t="str">
        <x:f>IF(COUNTA(C69:E69,G69:I69)=0,"",C69*$Q$2+(D69+E69)*$Q$3+G69*$Q$2+(H69+I69)*$Q$3)</x:f>
      </x:c>
      <x:c r="K69" s="61"/>
      <x:c r="L69" s="62" t="str">
        <x:f>IF(J69="","",MAX(J69-IF(K69="",0,K69),0))</x:f>
      </x:c>
      <x:c r="M69" s="59" t="str">
        <x:f>IF(J69="","",IF(K69&gt;=J69,"จ่ายแล้ว",IF(K69&gt;0,"จ่ายบางส่วน","ยังไม่ได้จ่าย")))</x:f>
      </x:c>
      <x:c r="N69" s="22"/>
    </x:row>
    <x:row r="70" ht="21" customHeight="1">
      <x:c r="A70" s="22" t="str">
        <x:v>S11-6</x:v>
      </x:c>
      <x:c r="B70" s="22" t="str">
        <x:v>ภาคใต้</x:v>
      </x:c>
      <x:c r="C70" s="52"/>
      <x:c r="D70" s="52"/>
      <x:c r="E70" s="52"/>
      <x:c r="F70" s="66"/>
      <x:c r="G70" s="53"/>
      <x:c r="H70" s="53"/>
      <x:c r="I70" s="53"/>
      <x:c r="J70" s="60" t="str">
        <x:f>IF(COUNTA(C70:E70,G70:I70)=0,"",C70*$Q$2+(D70+E70)*$Q$3+G70*$Q$2+(H70+I70)*$Q$3)</x:f>
      </x:c>
      <x:c r="K70" s="61"/>
      <x:c r="L70" s="62" t="str">
        <x:f>IF(J70="","",MAX(J70-IF(K70="",0,K70),0))</x:f>
      </x:c>
      <x:c r="M70" s="59" t="str">
        <x:f>IF(J70="","",IF(K70&gt;=J70,"จ่ายแล้ว",IF(K70&gt;0,"จ่ายบางส่วน","ยังไม่ได้จ่าย")))</x:f>
      </x:c>
      <x:c r="N70" s="22"/>
    </x:row>
    <x:row r="71" ht="21" customHeight="1">
      <x:c r="A71" s="22" t="str">
        <x:v>S12-1</x:v>
      </x:c>
      <x:c r="B71" s="22" t="str">
        <x:v>ภาคใต้</x:v>
      </x:c>
      <x:c r="C71" s="52"/>
      <x:c r="D71" s="52"/>
      <x:c r="E71" s="52"/>
      <x:c r="F71" s="66"/>
      <x:c r="G71" s="53"/>
      <x:c r="H71" s="53"/>
      <x:c r="I71" s="53"/>
      <x:c r="J71" s="60" t="str">
        <x:f>IF(COUNTA(C71:E71,G71:I71)=0,"",C71*$Q$2+(D71+E71)*$Q$3+G71*$Q$2+(H71+I71)*$Q$3)</x:f>
      </x:c>
      <x:c r="K71" s="61"/>
      <x:c r="L71" s="62" t="str">
        <x:f>IF(J71="","",MAX(J71-IF(K71="",0,K71),0))</x:f>
      </x:c>
      <x:c r="M71" s="59" t="str">
        <x:f>IF(J71="","",IF(K71&gt;=J71,"จ่ายแล้ว",IF(K71&gt;0,"จ่ายบางส่วน","ยังไม่ได้จ่าย")))</x:f>
      </x:c>
      <x:c r="N71" s="22"/>
    </x:row>
    <x:row r="72" ht="21" customHeight="1">
      <x:c r="A72" s="22" t="str">
        <x:v>S12-2</x:v>
      </x:c>
      <x:c r="B72" s="22" t="str">
        <x:v>ภาคใต้</x:v>
      </x:c>
      <x:c r="C72" s="52"/>
      <x:c r="D72" s="52"/>
      <x:c r="E72" s="52"/>
      <x:c r="F72" s="66"/>
      <x:c r="G72" s="53"/>
      <x:c r="H72" s="53"/>
      <x:c r="I72" s="53"/>
      <x:c r="J72" s="60" t="str">
        <x:f>IF(COUNTA(C72:E72,G72:I72)=0,"",C72*$Q$2+(D72+E72)*$Q$3+G72*$Q$2+(H72+I72)*$Q$3)</x:f>
      </x:c>
      <x:c r="K72" s="61"/>
      <x:c r="L72" s="62" t="str">
        <x:f>IF(J72="","",MAX(J72-IF(K72="",0,K72),0))</x:f>
      </x:c>
      <x:c r="M72" s="59" t="str">
        <x:f>IF(J72="","",IF(K72&gt;=J72,"จ่ายแล้ว",IF(K72&gt;0,"จ่ายบางส่วน","ยังไม่ได้จ่าย")))</x:f>
      </x:c>
      <x:c r="N72" s="22"/>
    </x:row>
    <x:row r="73" ht="21" customHeight="1">
      <x:c r="A73" s="22" t="str">
        <x:v>S12-3</x:v>
      </x:c>
      <x:c r="B73" s="22" t="str">
        <x:v>ภาคใต้</x:v>
      </x:c>
      <x:c r="C73" s="52"/>
      <x:c r="D73" s="52"/>
      <x:c r="E73" s="52"/>
      <x:c r="F73" s="66"/>
      <x:c r="G73" s="53"/>
      <x:c r="H73" s="53"/>
      <x:c r="I73" s="53"/>
      <x:c r="J73" s="60" t="str">
        <x:f>IF(COUNTA(C73:E73,G73:I73)=0,"",C73*$Q$2+(D73+E73)*$Q$3+G73*$Q$2+(H73+I73)*$Q$3)</x:f>
      </x:c>
      <x:c r="K73" s="61"/>
      <x:c r="L73" s="62" t="str">
        <x:f>IF(J73="","",MAX(J73-IF(K73="",0,K73),0))</x:f>
      </x:c>
      <x:c r="M73" s="59" t="str">
        <x:f>IF(J73="","",IF(K73&gt;=J73,"จ่ายแล้ว",IF(K73&gt;0,"จ่ายบางส่วน","ยังไม่ได้จ่าย")))</x:f>
      </x:c>
      <x:c r="N73" s="22"/>
    </x:row>
    <x:row r="74" ht="21" customHeight="1">
      <x:c r="A74" s="22" t="str">
        <x:v>S12-4</x:v>
      </x:c>
      <x:c r="B74" s="22" t="str">
        <x:v>ภาคใต้</x:v>
      </x:c>
      <x:c r="C74" s="52"/>
      <x:c r="D74" s="52"/>
      <x:c r="E74" s="52"/>
      <x:c r="F74" s="66"/>
      <x:c r="G74" s="53"/>
      <x:c r="H74" s="53"/>
      <x:c r="I74" s="53"/>
      <x:c r="J74" s="60" t="str">
        <x:f>IF(COUNTA(C74:E74,G74:I74)=0,"",C74*$Q$2+(D74+E74)*$Q$3+G74*$Q$2+(H74+I74)*$Q$3)</x:f>
      </x:c>
      <x:c r="K74" s="61"/>
      <x:c r="L74" s="62" t="str">
        <x:f>IF(J74="","",MAX(J74-IF(K74="",0,K74),0))</x:f>
      </x:c>
      <x:c r="M74" s="59" t="str">
        <x:f>IF(J74="","",IF(K74&gt;=J74,"จ่ายแล้ว",IF(K74&gt;0,"จ่ายบางส่วน","ยังไม่ได้จ่าย")))</x:f>
      </x:c>
      <x:c r="N74" s="22"/>
    </x:row>
    <x:row r="75" ht="21" customHeight="1">
      <x:c r="A75" s="22" t="str">
        <x:v>S12-5</x:v>
      </x:c>
      <x:c r="B75" s="22" t="str">
        <x:v>ภาคใต้</x:v>
      </x:c>
      <x:c r="C75" s="52"/>
      <x:c r="D75" s="52"/>
      <x:c r="E75" s="52"/>
      <x:c r="F75" s="66"/>
      <x:c r="G75" s="53"/>
      <x:c r="H75" s="53"/>
      <x:c r="I75" s="53"/>
      <x:c r="J75" s="60" t="str">
        <x:f>IF(COUNTA(C75:E75,G75:I75)=0,"",C75*$Q$2+(D75+E75)*$Q$3+G75*$Q$2+(H75+I75)*$Q$3)</x:f>
      </x:c>
      <x:c r="K75" s="61"/>
      <x:c r="L75" s="62" t="str">
        <x:f>IF(J75="","",MAX(J75-IF(K75="",0,K75),0))</x:f>
      </x:c>
      <x:c r="M75" s="59" t="str">
        <x:f>IF(J75="","",IF(K75&gt;=J75,"จ่ายแล้ว",IF(K75&gt;0,"จ่ายบางส่วน","ยังไม่ได้จ่าย")))</x:f>
      </x:c>
      <x:c r="N75" s="22"/>
    </x:row>
    <x:row r="76" ht="21" customHeight="1">
      <x:c r="A76" s="22" t="str">
        <x:v>S12-6</x:v>
      </x:c>
      <x:c r="B76" s="22" t="str">
        <x:v>ภาคใต้</x:v>
      </x:c>
      <x:c r="C76" s="52"/>
      <x:c r="D76" s="52"/>
      <x:c r="E76" s="52"/>
      <x:c r="F76" s="66"/>
      <x:c r="G76" s="53"/>
      <x:c r="H76" s="53"/>
      <x:c r="I76" s="53"/>
      <x:c r="J76" s="60" t="str">
        <x:f>IF(COUNTA(C76:E76,G76:I76)=0,"",C76*$Q$2+(D76+E76)*$Q$3+G76*$Q$2+(H76+I76)*$Q$3)</x:f>
      </x:c>
      <x:c r="K76" s="61"/>
      <x:c r="L76" s="62" t="str">
        <x:f>IF(J76="","",MAX(J76-IF(K76="",0,K76),0))</x:f>
      </x:c>
      <x:c r="M76" s="59" t="str">
        <x:f>IF(J76="","",IF(K76&gt;=J76,"จ่ายแล้ว",IF(K76&gt;0,"จ่ายบางส่วน","ยังไม่ได้จ่าย")))</x:f>
      </x:c>
      <x:c r="N76" s="22"/>
    </x:row>
    <x:row r="77" ht="21" customHeight="1">
      <x:c r="A77" s="22" t="str">
        <x:v>S13-1</x:v>
      </x:c>
      <x:c r="B77" s="22" t="str">
        <x:v>ภาคใต้</x:v>
      </x:c>
      <x:c r="C77" s="52"/>
      <x:c r="D77" s="52"/>
      <x:c r="E77" s="52"/>
      <x:c r="F77" s="66"/>
      <x:c r="G77" s="53"/>
      <x:c r="H77" s="53"/>
      <x:c r="I77" s="53"/>
      <x:c r="J77" s="60" t="str">
        <x:f>IF(COUNTA(C77:E77,G77:I77)=0,"",C77*$Q$2+(D77+E77)*$Q$3+G77*$Q$2+(H77+I77)*$Q$3)</x:f>
      </x:c>
      <x:c r="K77" s="61"/>
      <x:c r="L77" s="62" t="str">
        <x:f>IF(J77="","",MAX(J77-IF(K77="",0,K77),0))</x:f>
      </x:c>
      <x:c r="M77" s="59" t="str">
        <x:f>IF(J77="","",IF(K77&gt;=J77,"จ่ายแล้ว",IF(K77&gt;0,"จ่ายบางส่วน","ยังไม่ได้จ่าย")))</x:f>
      </x:c>
      <x:c r="N77" s="22"/>
    </x:row>
    <x:row r="78" ht="21" customHeight="1">
      <x:c r="A78" s="22" t="str">
        <x:v>S13-2</x:v>
      </x:c>
      <x:c r="B78" s="22" t="str">
        <x:v>ภาคใต้</x:v>
      </x:c>
      <x:c r="C78" s="52"/>
      <x:c r="D78" s="52"/>
      <x:c r="E78" s="52"/>
      <x:c r="F78" s="66"/>
      <x:c r="G78" s="53"/>
      <x:c r="H78" s="53"/>
      <x:c r="I78" s="53"/>
      <x:c r="J78" s="60" t="str">
        <x:f>IF(COUNTA(C78:E78,G78:I78)=0,"",C78*$Q$2+(D78+E78)*$Q$3+G78*$Q$2+(H78+I78)*$Q$3)</x:f>
      </x:c>
      <x:c r="K78" s="61"/>
      <x:c r="L78" s="62" t="str">
        <x:f>IF(J78="","",MAX(J78-IF(K78="",0,K78),0))</x:f>
      </x:c>
      <x:c r="M78" s="59" t="str">
        <x:f>IF(J78="","",IF(K78&gt;=J78,"จ่ายแล้ว",IF(K78&gt;0,"จ่ายบางส่วน","ยังไม่ได้จ่าย")))</x:f>
      </x:c>
      <x:c r="N78" s="22"/>
    </x:row>
    <x:row r="79" ht="21" customHeight="1">
      <x:c r="A79" s="22" t="str">
        <x:v>S13-3</x:v>
      </x:c>
      <x:c r="B79" s="22" t="str">
        <x:v>ภาคใต้</x:v>
      </x:c>
      <x:c r="C79" s="52"/>
      <x:c r="D79" s="52"/>
      <x:c r="E79" s="52"/>
      <x:c r="F79" s="66"/>
      <x:c r="G79" s="53"/>
      <x:c r="H79" s="53"/>
      <x:c r="I79" s="53"/>
      <x:c r="J79" s="60" t="str">
        <x:f>IF(COUNTA(C79:E79,G79:I79)=0,"",C79*$Q$2+(D79+E79)*$Q$3+G79*$Q$2+(H79+I79)*$Q$3)</x:f>
      </x:c>
      <x:c r="K79" s="61"/>
      <x:c r="L79" s="62" t="str">
        <x:f>IF(J79="","",MAX(J79-IF(K79="",0,K79),0))</x:f>
      </x:c>
      <x:c r="M79" s="59" t="str">
        <x:f>IF(J79="","",IF(K79&gt;=J79,"จ่ายแล้ว",IF(K79&gt;0,"จ่ายบางส่วน","ยังไม่ได้จ่าย")))</x:f>
      </x:c>
      <x:c r="N79" s="22"/>
    </x:row>
    <x:row r="80" ht="21" customHeight="1">
      <x:c r="A80" s="72" t="str">
        <x:v>S13-4</x:v>
      </x:c>
      <x:c r="B80" s="72" t="str">
        <x:v>ภาคใต้</x:v>
      </x:c>
      <x:c r="C80" s="74"/>
      <x:c r="D80" s="74" t="n">
        <x:v>1</x:v>
      </x:c>
      <x:c r="E80" s="74" t="n">
        <x:v>3</x:v>
      </x:c>
      <x:c r="F80" s="66"/>
      <x:c r="G80" s="74"/>
      <x:c r="H80" s="74"/>
      <x:c r="I80" s="74"/>
      <x:c r="J80" s="75" t="n">
        <x:f>IF(COUNTA(C80:E80,G80:I80)=0,"",C80*$Q$2+(D80+E80)*$Q$3+G80*$Q$2+(H80+I80)*$Q$3)</x:f>
        <x:v>240</x:v>
      </x:c>
      <x:c r="K80" s="75" t="n">
        <x:v>0</x:v>
      </x:c>
      <x:c r="L80" s="75" t="n">
        <x:f>IF(J80="","",MAX(J80-IF(K80="",0,K80),0))</x:f>
        <x:v>240</x:v>
      </x:c>
      <x:c r="M80" s="74" t="str">
        <x:f>IF(J80="","",IF(K80&gt;=J80,"จ่ายแล้ว",IF(K80&gt;0,"จ่ายบางส่วน","ยังไม่ได้จ่าย")))</x:f>
        <x:v>ยังไม่ได้จ่าย</x:v>
      </x:c>
      <x:c r="N80" s="72"/>
    </x:row>
    <x:row r="81" ht="21" customHeight="1">
      <x:c r="A81" s="22" t="str">
        <x:v>S13-5</x:v>
      </x:c>
      <x:c r="B81" s="22" t="str">
        <x:v>ภาคใต้</x:v>
      </x:c>
      <x:c r="C81" s="52"/>
      <x:c r="D81" s="52"/>
      <x:c r="E81" s="52"/>
      <x:c r="F81" s="66"/>
      <x:c r="G81" s="53"/>
      <x:c r="H81" s="53"/>
      <x:c r="I81" s="53"/>
      <x:c r="J81" s="60" t="str">
        <x:f>IF(COUNTA(C81:E81,G81:I81)=0,"",C81*$Q$2+(D81+E81)*$Q$3+G81*$Q$2+(H81+I81)*$Q$3)</x:f>
      </x:c>
      <x:c r="K81" s="61"/>
      <x:c r="L81" s="62" t="str">
        <x:f>IF(J81="","",MAX(J81-IF(K81="",0,K81),0))</x:f>
      </x:c>
      <x:c r="M81" s="59" t="str">
        <x:f>IF(J81="","",IF(K81&gt;=J81,"จ่ายแล้ว",IF(K81&gt;0,"จ่ายบางส่วน","ยังไม่ได้จ่าย")))</x:f>
      </x:c>
      <x:c r="N81" s="22"/>
    </x:row>
    <x:row r="82" ht="21" customHeight="1">
      <x:c r="A82" s="22" t="str">
        <x:v>S13-6</x:v>
      </x:c>
      <x:c r="B82" s="22" t="str">
        <x:v>ภาคใต้</x:v>
      </x:c>
      <x:c r="C82" s="52"/>
      <x:c r="D82" s="52"/>
      <x:c r="E82" s="52"/>
      <x:c r="F82" s="66"/>
      <x:c r="G82" s="53"/>
      <x:c r="H82" s="53"/>
      <x:c r="I82" s="53"/>
      <x:c r="J82" s="60" t="str">
        <x:f>IF(COUNTA(C82:E82,G82:I82)=0,"",C82*$Q$2+(D82+E82)*$Q$3+G82*$Q$2+(H82+I82)*$Q$3)</x:f>
      </x:c>
      <x:c r="K82" s="61"/>
      <x:c r="L82" s="62" t="str">
        <x:f>IF(J82="","",MAX(J82-IF(K82="",0,K82),0))</x:f>
      </x:c>
      <x:c r="M82" s="59" t="str">
        <x:f>IF(J82="","",IF(K82&gt;=J82,"จ่ายแล้ว",IF(K82&gt;0,"จ่ายบางส่วน","ยังไม่ได้จ่าย")))</x:f>
      </x:c>
      <x:c r="N82" s="22"/>
    </x:row>
    <x:row r="83" ht="21" customHeight="1">
      <x:c r="A83" s="22" t="str">
        <x:v>S14-1</x:v>
      </x:c>
      <x:c r="B83" s="22" t="str">
        <x:v>ภาคใต้</x:v>
      </x:c>
      <x:c r="C83" s="52"/>
      <x:c r="D83" s="52"/>
      <x:c r="E83" s="52"/>
      <x:c r="F83" s="66"/>
      <x:c r="G83" s="53"/>
      <x:c r="H83" s="53"/>
      <x:c r="I83" s="53"/>
      <x:c r="J83" s="60" t="str">
        <x:f>IF(COUNTA(C83:E83,G83:I83)=0,"",C83*$Q$2+(D83+E83)*$Q$3+G83*$Q$2+(H83+I83)*$Q$3)</x:f>
      </x:c>
      <x:c r="K83" s="61"/>
      <x:c r="L83" s="62" t="str">
        <x:f>IF(J83="","",MAX(J83-IF(K83="",0,K83),0))</x:f>
      </x:c>
      <x:c r="M83" s="59" t="str">
        <x:f>IF(J83="","",IF(K83&gt;=J83,"จ่ายแล้ว",IF(K83&gt;0,"จ่ายบางส่วน","ยังไม่ได้จ่าย")))</x:f>
      </x:c>
      <x:c r="N83" s="22"/>
    </x:row>
    <x:row r="84" ht="21" customHeight="1">
      <x:c r="A84" s="22" t="str">
        <x:v>S14-2</x:v>
      </x:c>
      <x:c r="B84" s="22" t="str">
        <x:v>ภาคใต้</x:v>
      </x:c>
      <x:c r="C84" s="52"/>
      <x:c r="D84" s="52"/>
      <x:c r="E84" s="52"/>
      <x:c r="F84" s="66"/>
      <x:c r="G84" s="53"/>
      <x:c r="H84" s="53"/>
      <x:c r="I84" s="53"/>
      <x:c r="J84" s="60" t="str">
        <x:f>IF(COUNTA(C84:E84,G84:I84)=0,"",C84*$Q$2+(D84+E84)*$Q$3+G84*$Q$2+(H84+I84)*$Q$3)</x:f>
      </x:c>
      <x:c r="K84" s="61"/>
      <x:c r="L84" s="62" t="str">
        <x:f>IF(J84="","",MAX(J84-IF(K84="",0,K84),0))</x:f>
      </x:c>
      <x:c r="M84" s="59" t="str">
        <x:f>IF(J84="","",IF(K84&gt;=J84,"จ่ายแล้ว",IF(K84&gt;0,"จ่ายบางส่วน","ยังไม่ได้จ่าย")))</x:f>
      </x:c>
      <x:c r="N84" s="22"/>
    </x:row>
    <x:row r="85" ht="21" customHeight="1">
      <x:c r="A85" s="22" t="str">
        <x:v>S14-3</x:v>
      </x:c>
      <x:c r="B85" s="22" t="str">
        <x:v>ภาคใต้</x:v>
      </x:c>
      <x:c r="C85" s="52"/>
      <x:c r="D85" s="52"/>
      <x:c r="E85" s="52"/>
      <x:c r="F85" s="66"/>
      <x:c r="G85" s="53"/>
      <x:c r="H85" s="53"/>
      <x:c r="I85" s="53"/>
      <x:c r="J85" s="60" t="str">
        <x:f>IF(COUNTA(C85:E85,G85:I85)=0,"",C85*$Q$2+(D85+E85)*$Q$3+G85*$Q$2+(H85+I85)*$Q$3)</x:f>
      </x:c>
      <x:c r="K85" s="61"/>
      <x:c r="L85" s="62" t="str">
        <x:f>IF(J85="","",MAX(J85-IF(K85="",0,K85),0))</x:f>
      </x:c>
      <x:c r="M85" s="59" t="str">
        <x:f>IF(J85="","",IF(K85&gt;=J85,"จ่ายแล้ว",IF(K85&gt;0,"จ่ายบางส่วน","ยังไม่ได้จ่าย")))</x:f>
      </x:c>
      <x:c r="N85" s="22"/>
    </x:row>
    <x:row r="86" ht="21" customHeight="1">
      <x:c r="A86" s="22" t="str">
        <x:v>S14-4</x:v>
      </x:c>
      <x:c r="B86" s="22" t="str">
        <x:v>ภาคใต้</x:v>
      </x:c>
      <x:c r="C86" s="52"/>
      <x:c r="D86" s="52"/>
      <x:c r="E86" s="52"/>
      <x:c r="F86" s="66"/>
      <x:c r="G86" s="53"/>
      <x:c r="H86" s="53"/>
      <x:c r="I86" s="53"/>
      <x:c r="J86" s="60" t="str">
        <x:f>IF(COUNTA(C86:E86,G86:I86)=0,"",C86*$Q$2+(D86+E86)*$Q$3+G86*$Q$2+(H86+I86)*$Q$3)</x:f>
      </x:c>
      <x:c r="K86" s="61"/>
      <x:c r="L86" s="62" t="str">
        <x:f>IF(J86="","",MAX(J86-IF(K86="",0,K86),0))</x:f>
      </x:c>
      <x:c r="M86" s="59" t="str">
        <x:f>IF(J86="","",IF(K86&gt;=J86,"จ่ายแล้ว",IF(K86&gt;0,"จ่ายบางส่วน","ยังไม่ได้จ่าย")))</x:f>
      </x:c>
      <x:c r="N86" s="22"/>
    </x:row>
    <x:row r="87" ht="21" customHeight="1">
      <x:c r="A87" s="22" t="str">
        <x:v>S14-5</x:v>
      </x:c>
      <x:c r="B87" s="22" t="str">
        <x:v>ภาคใต้</x:v>
      </x:c>
      <x:c r="C87" s="52"/>
      <x:c r="D87" s="52"/>
      <x:c r="E87" s="52"/>
      <x:c r="F87" s="66"/>
      <x:c r="G87" s="53"/>
      <x:c r="H87" s="53"/>
      <x:c r="I87" s="53"/>
      <x:c r="J87" s="60" t="str">
        <x:f>IF(COUNTA(C87:E87,G87:I87)=0,"",C87*$Q$2+(D87+E87)*$Q$3+G87*$Q$2+(H87+I87)*$Q$3)</x:f>
      </x:c>
      <x:c r="K87" s="61"/>
      <x:c r="L87" s="62" t="str">
        <x:f>IF(J87="","",MAX(J87-IF(K87="",0,K87),0))</x:f>
      </x:c>
      <x:c r="M87" s="59" t="str">
        <x:f>IF(J87="","",IF(K87&gt;=J87,"จ่ายแล้ว",IF(K87&gt;0,"จ่ายบางส่วน","ยังไม่ได้จ่าย")))</x:f>
      </x:c>
      <x:c r="N87" s="22"/>
    </x:row>
    <x:row r="88" ht="21" customHeight="1">
      <x:c r="A88" s="22" t="str">
        <x:v>S14-6</x:v>
      </x:c>
      <x:c r="B88" s="22" t="str">
        <x:v>ภาคใต้</x:v>
      </x:c>
      <x:c r="C88" s="52"/>
      <x:c r="D88" s="52"/>
      <x:c r="E88" s="52"/>
      <x:c r="F88" s="66"/>
      <x:c r="G88" s="53"/>
      <x:c r="H88" s="53"/>
      <x:c r="I88" s="53"/>
      <x:c r="J88" s="60" t="str">
        <x:f>IF(COUNTA(C88:E88,G88:I88)=0,"",C88*$Q$2+(D88+E88)*$Q$3+G88*$Q$2+(H88+I88)*$Q$3)</x:f>
      </x:c>
      <x:c r="K88" s="61"/>
      <x:c r="L88" s="62" t="str">
        <x:f>IF(J88="","",MAX(J88-IF(K88="",0,K88),0))</x:f>
      </x:c>
      <x:c r="M88" s="59" t="str">
        <x:f>IF(J88="","",IF(K88&gt;=J88,"จ่ายแล้ว",IF(K88&gt;0,"จ่ายบางส่วน","ยังไม่ได้จ่าย")))</x:f>
      </x:c>
      <x:c r="N88" s="22"/>
    </x:row>
  </x:sheetData>
  <x:mergeCells>
    <x:mergeCell ref="C3:E3"/>
    <x:mergeCell ref="G3:I3"/>
  </x:mergeCells>
  <x:conditionalFormatting sqref="M5:M88">
    <x:cfRule type="containsText" dxfId="13" priority="1" operator="containsText" text="จ่ายแล้ว"/>
    <x:cfRule type="containsText" dxfId="14" priority="2" operator="containsText" text="จ่ายบางส่วน"/>
    <x:cfRule type="containsText" dxfId="15" priority="3" operator="containsText" text="ยังไม่ได้จ่าย"/>
  </x:conditionalFormatting>
  <x:pageMargins left="0.7" right="0.7" top="0.75" bottom="0.75" header="0.3" footer="0.3"/>
  <x:tableParts count="1">
    <x:tablePart xmlns:r="http://schemas.openxmlformats.org/officeDocument/2006/relationships" r:id="R23f1ce1b58ca427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9" hidden="0" customWidth="1"/>
    <x:col min="4" max="4" width="9" hidden="0" customWidth="1"/>
    <x:col min="5" max="5" width="9" hidden="0" customWidth="1"/>
    <x:col min="6" max="6" width="3" hidden="0" customWidth="1"/>
    <x:col min="7" max="7" width="9" hidden="0" customWidth="1"/>
    <x:col min="9" max="9" width="9" hidden="0" customWidth="1"/>
    <x:col min="10" max="10" width="17" hidden="0" customWidth="1"/>
    <x:col min="8" max="8" width="9" hidden="0" customWidth="1"/>
    <x:col min="11" max="11" width="14" hidden="0" customWidth="1"/>
    <x:col min="12" max="12" width="14" hidden="0" customWidth="1"/>
    <x:col min="13" max="13" width="16" hidden="0" customWidth="1"/>
    <x:col min="14" max="14" width="42" hidden="0" customWidth="1"/>
    <x:col min="16" max="16" width="24" hidden="0" customWidth="1"/>
    <x:col min="17" max="17" width="12" hidden="0" customWidth="1"/>
  </x:cols>
  <x:sheetData>
    <x:row r="1" ht="20" customHeight="1">
      <x:c r="A1" s="19" t="str">
        <x:v>รหัสบูธ</x:v>
      </x:c>
      <x:c r="B1"/>
      <x:c r="C1"/>
      <x:c r="D1"/>
      <x:c r="E1"/>
      <x:c r="F1"/>
      <x:c r="G1"/>
      <x:c r="H1"/>
      <x:c r="I1"/>
      <x:c r="J1"/>
      <x:c r="P1" s="21" t="str">
        <x:v>ราคาต่อหน่วย</x:v>
      </x:c>
      <x:c r="Q1"/>
    </x:row>
    <x:row r="2">
      <x:c r="A2" s="20" t="str">
        <x:v>แปลน QD อัพเดท 18-9-69.pdf • รหัสบูธ 456 รายการ และชวนชิม 64 คูหา</x:v>
      </x:c>
      <x:c r="B2"/>
      <x:c r="C2"/>
      <x:c r="D2"/>
      <x:c r="E2"/>
      <x:c r="F2"/>
      <x:c r="G2"/>
      <x:c r="H2"/>
      <x:c r="I2"/>
      <x:c r="J2"/>
      <x:c r="P2" s="22" t="str">
        <x:v>ค่าเช่าถัง (บาท)</x:v>
      </x:c>
      <x:c r="Q2" s="69" t="n">
        <x:v>100</x:v>
      </x:c>
    </x:row>
    <x:row r="3" ht="24" customHeight="1">
      <x:c r="A3"/>
      <x:c r="B3"/>
      <x:c r="C3" s="47" t="str">
        <x:v>ยอดวันที่ 27/09/69</x:v>
      </x:c>
      <x:c r="D3" s="47"/>
      <x:c r="E3" s="47"/>
      <x:c r="F3" s="66"/>
      <x:c r="G3" s="47" t="str">
        <x:v>ยอดวันที่ 28/09/69</x:v>
      </x:c>
      <x:c r="H3" s="47"/>
      <x:c r="I3" s="47"/>
      <x:c r="J3"/>
      <x:c r="P3" s="22" t="str">
        <x:v>น้ำแข็ง/กระสอบ (บาท)</x:v>
      </x:c>
      <x:c r="Q3" s="69" t="n">
        <x:v>60</x:v>
      </x:c>
    </x:row>
    <x:row r="4" ht="25" customHeight="1">
      <x:c r="A4" s="49" t="str">
        <x:v>รหัส</x:v>
      </x:c>
      <x:c r="B4" s="49" t="str">
        <x:v>โซน</x:v>
      </x:c>
      <x:c r="C4" s="50" t="str">
        <x:v>ถัง</x:v>
      </x:c>
      <x:c r="D4" s="50" t="str">
        <x:v>เล็ก</x:v>
      </x:c>
      <x:c r="E4" s="50" t="str">
        <x:v>บด</x:v>
      </x:c>
      <x:c r="F4" s="67" t="str">
        <x:v>คั่น</x:v>
      </x:c>
      <x:c r="G4" s="50" t="str">
        <x:v>ถัง</x:v>
      </x:c>
      <x:c r="H4" s="50" t="str">
        <x:v>เล็ก</x:v>
      </x:c>
      <x:c r="I4" s="50" t="str">
        <x:v>บด</x:v>
      </x:c>
      <x:c r="J4" s="50" t="str">
        <x:v>รวมเงิน (บาท)</x:v>
      </x:c>
      <x:c r="K4" s="50" t="str">
        <x:v>ยอดชำระ</x:v>
      </x:c>
      <x:c r="L4" s="50" t="str">
        <x:v>ยอดค้าง</x:v>
      </x:c>
      <x:c r="M4" s="50" t="str">
        <x:v>สถานะ</x:v>
      </x:c>
      <x:c r="N4" s="49" t="str">
        <x:v>หมายเหตุ</x:v>
      </x:c>
    </x:row>
    <x:row r="5" ht="21" customHeight="1">
      <x:c r="A5" s="22" t="str">
        <x:v>E1-1</x:v>
      </x:c>
      <x:c r="B5" s="22" t="str">
        <x:v>ภาคตะวันออกเฉียงเหนือ</x:v>
      </x:c>
      <x:c r="C5" s="52"/>
      <x:c r="D5" s="52"/>
      <x:c r="E5" s="52"/>
      <x:c r="F5" s="66"/>
      <x:c r="G5" s="53"/>
      <x:c r="H5" s="53"/>
      <x:c r="I5" s="53"/>
      <x:c r="J5" s="60" t="str">
        <x:f>IF(COUNTA(C5:E5,G5:I5)=0,"",C5*$Q$2+(D5+E5)*$Q$3+G5*$Q$2+(H5+I5)*$Q$3)</x:f>
      </x:c>
      <x:c r="K5" s="61"/>
      <x:c r="L5" s="62" t="str">
        <x:f>IF(J5="","",MAX(J5-IF(K5="",0,K5),0))</x:f>
      </x:c>
      <x:c r="M5" s="59" t="str">
        <x:f>IF(J5="","",IF(K5&gt;=J5,"จ่ายแล้ว",IF(K5&gt;0,"จ่ายบางส่วน","ยังไม่ได้จ่าย")))</x:f>
      </x:c>
      <x:c r="N5" s="22"/>
    </x:row>
    <x:row r="6" ht="21" customHeight="1">
      <x:c r="A6" s="22" t="str">
        <x:v>E1-2</x:v>
      </x:c>
      <x:c r="B6" s="22" t="str">
        <x:v>ภาคตะวันออกเฉียงเหนือ</x:v>
      </x:c>
      <x:c r="C6" s="52"/>
      <x:c r="D6" s="52"/>
      <x:c r="E6" s="52"/>
      <x:c r="F6" s="66"/>
      <x:c r="G6" s="53"/>
      <x:c r="H6" s="53"/>
      <x:c r="I6" s="53"/>
      <x:c r="J6" s="60" t="str">
        <x:f>IF(COUNTA(C6:E6,G6:I6)=0,"",C6*$Q$2+(D6+E6)*$Q$3+G6*$Q$2+(H6+I6)*$Q$3)</x:f>
      </x:c>
      <x:c r="K6" s="61"/>
      <x:c r="L6" s="62" t="str">
        <x:f>IF(J6="","",MAX(J6-IF(K6="",0,K6),0))</x:f>
      </x:c>
      <x:c r="M6" s="59" t="str">
        <x:f>IF(J6="","",IF(K6&gt;=J6,"จ่ายแล้ว",IF(K6&gt;0,"จ่ายบางส่วน","ยังไม่ได้จ่าย")))</x:f>
      </x:c>
      <x:c r="N6" s="22"/>
    </x:row>
    <x:row r="7" ht="21" customHeight="1">
      <x:c r="A7" s="22" t="str">
        <x:v>E1-3</x:v>
      </x:c>
      <x:c r="B7" s="22" t="str">
        <x:v>ภาคตะวันออกเฉียงเหนือ</x:v>
      </x:c>
      <x:c r="C7" s="52"/>
      <x:c r="D7" s="52"/>
      <x:c r="E7" s="52"/>
      <x:c r="F7" s="66"/>
      <x:c r="G7" s="53"/>
      <x:c r="H7" s="53"/>
      <x:c r="I7" s="53"/>
      <x:c r="J7" s="60" t="str">
        <x:f>IF(COUNTA(C7:E7,G7:I7)=0,"",C7*$Q$2+(D7+E7)*$Q$3+G7*$Q$2+(H7+I7)*$Q$3)</x:f>
      </x:c>
      <x:c r="K7" s="61"/>
      <x:c r="L7" s="62" t="str">
        <x:f>IF(J7="","",MAX(J7-IF(K7="",0,K7),0))</x:f>
      </x:c>
      <x:c r="M7" s="59" t="str">
        <x:f>IF(J7="","",IF(K7&gt;=J7,"จ่ายแล้ว",IF(K7&gt;0,"จ่ายบางส่วน","ยังไม่ได้จ่าย")))</x:f>
      </x:c>
      <x:c r="N7" s="22"/>
    </x:row>
    <x:row r="8" ht="21" customHeight="1">
      <x:c r="A8" s="22" t="str">
        <x:v>E1-4</x:v>
      </x:c>
      <x:c r="B8" s="22" t="str">
        <x:v>ภาคตะวันออกเฉียงเหนือ</x:v>
      </x:c>
      <x:c r="C8" s="52"/>
      <x:c r="D8" s="52"/>
      <x:c r="E8" s="52"/>
      <x:c r="F8" s="66"/>
      <x:c r="G8" s="53"/>
      <x:c r="H8" s="53"/>
      <x:c r="I8" s="53"/>
      <x:c r="J8" s="60" t="str">
        <x:f>IF(COUNTA(C8:E8,G8:I8)=0,"",C8*$Q$2+(D8+E8)*$Q$3+G8*$Q$2+(H8+I8)*$Q$3)</x:f>
      </x:c>
      <x:c r="K8" s="61"/>
      <x:c r="L8" s="62" t="str">
        <x:f>IF(J8="","",MAX(J8-IF(K8="",0,K8),0))</x:f>
      </x:c>
      <x:c r="M8" s="59" t="str">
        <x:f>IF(J8="","",IF(K8&gt;=J8,"จ่ายแล้ว",IF(K8&gt;0,"จ่ายบางส่วน","ยังไม่ได้จ่าย")))</x:f>
      </x:c>
      <x:c r="N8" s="22"/>
    </x:row>
    <x:row r="9" ht="21" customHeight="1">
      <x:c r="A9" s="22" t="str">
        <x:v>E1-5</x:v>
      </x:c>
      <x:c r="B9" s="22" t="str">
        <x:v>ภาคตะวันออกเฉียงเหนือ</x:v>
      </x:c>
      <x:c r="C9" s="52"/>
      <x:c r="D9" s="52"/>
      <x:c r="E9" s="52"/>
      <x:c r="F9" s="66"/>
      <x:c r="G9" s="53"/>
      <x:c r="H9" s="53"/>
      <x:c r="I9" s="53"/>
      <x:c r="J9" s="60" t="str">
        <x:f>IF(COUNTA(C9:E9,G9:I9)=0,"",C9*$Q$2+(D9+E9)*$Q$3+G9*$Q$2+(H9+I9)*$Q$3)</x:f>
      </x:c>
      <x:c r="K9" s="61"/>
      <x:c r="L9" s="62" t="str">
        <x:f>IF(J9="","",MAX(J9-IF(K9="",0,K9),0))</x:f>
      </x:c>
      <x:c r="M9" s="59" t="str">
        <x:f>IF(J9="","",IF(K9&gt;=J9,"จ่ายแล้ว",IF(K9&gt;0,"จ่ายบางส่วน","ยังไม่ได้จ่าย")))</x:f>
      </x:c>
      <x:c r="N9" s="22"/>
    </x:row>
    <x:row r="10" ht="21" customHeight="1">
      <x:c r="A10" s="22" t="str">
        <x:v>E1-6</x:v>
      </x:c>
      <x:c r="B10" s="22" t="str">
        <x:v>ภาคตะวันออกเฉียงเหนือ</x:v>
      </x:c>
      <x:c r="C10" s="52"/>
      <x:c r="D10" s="52"/>
      <x:c r="E10" s="52"/>
      <x:c r="F10" s="66"/>
      <x:c r="G10" s="53"/>
      <x:c r="H10" s="53"/>
      <x:c r="I10" s="53"/>
      <x:c r="J10" s="60" t="str">
        <x:f>IF(COUNTA(C10:E10,G10:I10)=0,"",C10*$Q$2+(D10+E10)*$Q$3+G10*$Q$2+(H10+I10)*$Q$3)</x:f>
      </x:c>
      <x:c r="K10" s="61"/>
      <x:c r="L10" s="62" t="str">
        <x:f>IF(J10="","",MAX(J10-IF(K10="",0,K10),0))</x:f>
      </x:c>
      <x:c r="M10" s="59" t="str">
        <x:f>IF(J10="","",IF(K10&gt;=J10,"จ่ายแล้ว",IF(K10&gt;0,"จ่ายบางส่วน","ยังไม่ได้จ่าย")))</x:f>
      </x:c>
      <x:c r="N10" s="22"/>
    </x:row>
    <x:row r="11" ht="21" customHeight="1">
      <x:c r="A11" s="22" t="str">
        <x:v>E2-1</x:v>
      </x:c>
      <x:c r="B11" s="22" t="str">
        <x:v>ภาคตะวันออกเฉียงเหนือ</x:v>
      </x:c>
      <x:c r="C11" s="52"/>
      <x:c r="D11" s="52"/>
      <x:c r="E11" s="52"/>
      <x:c r="F11" s="66"/>
      <x:c r="G11" s="53"/>
      <x:c r="H11" s="53"/>
      <x:c r="I11" s="53"/>
      <x:c r="J11" s="60" t="str">
        <x:f>IF(COUNTA(C11:E11,G11:I11)=0,"",C11*$Q$2+(D11+E11)*$Q$3+G11*$Q$2+(H11+I11)*$Q$3)</x:f>
      </x:c>
      <x:c r="K11" s="61"/>
      <x:c r="L11" s="62" t="str">
        <x:f>IF(J11="","",MAX(J11-IF(K11="",0,K11),0))</x:f>
      </x:c>
      <x:c r="M11" s="59" t="str">
        <x:f>IF(J11="","",IF(K11&gt;=J11,"จ่ายแล้ว",IF(K11&gt;0,"จ่ายบางส่วน","ยังไม่ได้จ่าย")))</x:f>
      </x:c>
      <x:c r="N11" s="22"/>
    </x:row>
    <x:row r="12" ht="21" customHeight="1">
      <x:c r="A12" s="22" t="str">
        <x:v>E2-2</x:v>
      </x:c>
      <x:c r="B12" s="22" t="str">
        <x:v>ภาคตะวันออกเฉียงเหนือ</x:v>
      </x:c>
      <x:c r="C12" s="52"/>
      <x:c r="D12" s="52"/>
      <x:c r="E12" s="52"/>
      <x:c r="F12" s="66"/>
      <x:c r="G12" s="53"/>
      <x:c r="H12" s="53"/>
      <x:c r="I12" s="53"/>
      <x:c r="J12" s="60" t="str">
        <x:f>IF(COUNTA(C12:E12,G12:I12)=0,"",C12*$Q$2+(D12+E12)*$Q$3+G12*$Q$2+(H12+I12)*$Q$3)</x:f>
      </x:c>
      <x:c r="K12" s="61"/>
      <x:c r="L12" s="62" t="str">
        <x:f>IF(J12="","",MAX(J12-IF(K12="",0,K12),0))</x:f>
      </x:c>
      <x:c r="M12" s="59" t="str">
        <x:f>IF(J12="","",IF(K12&gt;=J12,"จ่ายแล้ว",IF(K12&gt;0,"จ่ายบางส่วน","ยังไม่ได้จ่าย")))</x:f>
      </x:c>
      <x:c r="N12" s="22"/>
    </x:row>
    <x:row r="13" ht="21" customHeight="1">
      <x:c r="A13" s="22" t="str">
        <x:v>E2-3</x:v>
      </x:c>
      <x:c r="B13" s="22" t="str">
        <x:v>ภาคตะวันออกเฉียงเหนือ</x:v>
      </x:c>
      <x:c r="C13" s="52"/>
      <x:c r="D13" s="52"/>
      <x:c r="E13" s="52"/>
      <x:c r="F13" s="66"/>
      <x:c r="G13" s="53"/>
      <x:c r="H13" s="53"/>
      <x:c r="I13" s="53"/>
      <x:c r="J13" s="60" t="str">
        <x:f>IF(COUNTA(C13:E13,G13:I13)=0,"",C13*$Q$2+(D13+E13)*$Q$3+G13*$Q$2+(H13+I13)*$Q$3)</x:f>
      </x:c>
      <x:c r="K13" s="61"/>
      <x:c r="L13" s="62" t="str">
        <x:f>IF(J13="","",MAX(J13-IF(K13="",0,K13),0))</x:f>
      </x:c>
      <x:c r="M13" s="59" t="str">
        <x:f>IF(J13="","",IF(K13&gt;=J13,"จ่ายแล้ว",IF(K13&gt;0,"จ่ายบางส่วน","ยังไม่ได้จ่าย")))</x:f>
      </x:c>
      <x:c r="N13" s="22"/>
    </x:row>
    <x:row r="14" ht="21" customHeight="1">
      <x:c r="A14" s="22" t="str">
        <x:v>E2-4</x:v>
      </x:c>
      <x:c r="B14" s="22" t="str">
        <x:v>ภาคตะวันออกเฉียงเหนือ</x:v>
      </x:c>
      <x:c r="C14" s="52"/>
      <x:c r="D14" s="52"/>
      <x:c r="E14" s="52"/>
      <x:c r="F14" s="66"/>
      <x:c r="G14" s="53"/>
      <x:c r="H14" s="53"/>
      <x:c r="I14" s="53"/>
      <x:c r="J14" s="60" t="str">
        <x:f>IF(COUNTA(C14:E14,G14:I14)=0,"",C14*$Q$2+(D14+E14)*$Q$3+G14*$Q$2+(H14+I14)*$Q$3)</x:f>
      </x:c>
      <x:c r="K14" s="61"/>
      <x:c r="L14" s="62" t="str">
        <x:f>IF(J14="","",MAX(J14-IF(K14="",0,K14),0))</x:f>
      </x:c>
      <x:c r="M14" s="59" t="str">
        <x:f>IF(J14="","",IF(K14&gt;=J14,"จ่ายแล้ว",IF(K14&gt;0,"จ่ายบางส่วน","ยังไม่ได้จ่าย")))</x:f>
      </x:c>
      <x:c r="N14" s="22"/>
    </x:row>
    <x:row r="15" ht="21" customHeight="1">
      <x:c r="A15" s="22" t="str">
        <x:v>E2-5</x:v>
      </x:c>
      <x:c r="B15" s="22" t="str">
        <x:v>ภาคตะวันออกเฉียงเหนือ</x:v>
      </x:c>
      <x:c r="C15" s="52"/>
      <x:c r="D15" s="52"/>
      <x:c r="E15" s="52"/>
      <x:c r="F15" s="66"/>
      <x:c r="G15" s="53"/>
      <x:c r="H15" s="53"/>
      <x:c r="I15" s="53"/>
      <x:c r="J15" s="60" t="str">
        <x:f>IF(COUNTA(C15:E15,G15:I15)=0,"",C15*$Q$2+(D15+E15)*$Q$3+G15*$Q$2+(H15+I15)*$Q$3)</x:f>
      </x:c>
      <x:c r="K15" s="61"/>
      <x:c r="L15" s="62" t="str">
        <x:f>IF(J15="","",MAX(J15-IF(K15="",0,K15),0))</x:f>
      </x:c>
      <x:c r="M15" s="59" t="str">
        <x:f>IF(J15="","",IF(K15&gt;=J15,"จ่ายแล้ว",IF(K15&gt;0,"จ่ายบางส่วน","ยังไม่ได้จ่าย")))</x:f>
      </x:c>
      <x:c r="N15" s="22"/>
    </x:row>
    <x:row r="16" ht="21" customHeight="1">
      <x:c r="A16" s="22" t="str">
        <x:v>E2-6</x:v>
      </x:c>
      <x:c r="B16" s="22" t="str">
        <x:v>ภาคตะวันออกเฉียงเหนือ</x:v>
      </x:c>
      <x:c r="C16" s="52"/>
      <x:c r="D16" s="52"/>
      <x:c r="E16" s="52"/>
      <x:c r="F16" s="66"/>
      <x:c r="G16" s="53"/>
      <x:c r="H16" s="53"/>
      <x:c r="I16" s="53"/>
      <x:c r="J16" s="60" t="str">
        <x:f>IF(COUNTA(C16:E16,G16:I16)=0,"",C16*$Q$2+(D16+E16)*$Q$3+G16*$Q$2+(H16+I16)*$Q$3)</x:f>
      </x:c>
      <x:c r="K16" s="61"/>
      <x:c r="L16" s="62" t="str">
        <x:f>IF(J16="","",MAX(J16-IF(K16="",0,K16),0))</x:f>
      </x:c>
      <x:c r="M16" s="59" t="str">
        <x:f>IF(J16="","",IF(K16&gt;=J16,"จ่ายแล้ว",IF(K16&gt;0,"จ่ายบางส่วน","ยังไม่ได้จ่าย")))</x:f>
      </x:c>
      <x:c r="N16" s="22"/>
    </x:row>
    <x:row r="17" ht="21" customHeight="1">
      <x:c r="A17" s="22" t="str">
        <x:v>E3-1</x:v>
      </x:c>
      <x:c r="B17" s="22" t="str">
        <x:v>ภาคตะวันออกเฉียงเหนือ</x:v>
      </x:c>
      <x:c r="C17" s="52"/>
      <x:c r="D17" s="52"/>
      <x:c r="E17" s="52"/>
      <x:c r="F17" s="66"/>
      <x:c r="G17" s="53"/>
      <x:c r="H17" s="53"/>
      <x:c r="I17" s="53"/>
      <x:c r="J17" s="60" t="str">
        <x:f>IF(COUNTA(C17:E17,G17:I17)=0,"",C17*$Q$2+(D17+E17)*$Q$3+G17*$Q$2+(H17+I17)*$Q$3)</x:f>
      </x:c>
      <x:c r="K17" s="61"/>
      <x:c r="L17" s="62" t="str">
        <x:f>IF(J17="","",MAX(J17-IF(K17="",0,K17),0))</x:f>
      </x:c>
      <x:c r="M17" s="59" t="str">
        <x:f>IF(J17="","",IF(K17&gt;=J17,"จ่ายแล้ว",IF(K17&gt;0,"จ่ายบางส่วน","ยังไม่ได้จ่าย")))</x:f>
      </x:c>
      <x:c r="N17" s="22"/>
    </x:row>
    <x:row r="18" ht="21" customHeight="1">
      <x:c r="A18" s="22" t="str">
        <x:v>E3-2</x:v>
      </x:c>
      <x:c r="B18" s="22" t="str">
        <x:v>ภาคตะวันออกเฉียงเหนือ</x:v>
      </x:c>
      <x:c r="C18" s="52" t="n">
        <x:v>1</x:v>
      </x:c>
      <x:c r="D18" s="52"/>
      <x:c r="E18" s="52"/>
      <x:c r="F18" s="66"/>
      <x:c r="G18" s="53"/>
      <x:c r="H18" s="53"/>
      <x:c r="I18" s="53"/>
      <x:c r="J18" s="60" t="n">
        <x:f>IF(COUNTA(C18:E18,G18:I18)=0,"",C18*$Q$2+(D18+E18)*$Q$3+G18*$Q$2+(H18+I18)*$Q$3)</x:f>
        <x:v>100</x:v>
      </x:c>
      <x:c r="K18" s="61" t="n">
        <x:v>0</x:v>
      </x:c>
      <x:c r="L18" s="62" t="n">
        <x:f>IF(J18="","",MAX(J18-IF(K18="",0,K18),0))</x:f>
        <x:v>100</x:v>
      </x:c>
      <x:c r="M18" s="59" t="str">
        <x:f>IF(J18="","",IF(K18&gt;=J18,"จ่ายแล้ว",IF(K18&gt;0,"จ่ายบางส่วน","ยังไม่ได้จ่าย")))</x:f>
        <x:v>ยังไม่ได้จ่าย</x:v>
      </x:c>
      <x:c r="N18" s="22"/>
    </x:row>
    <x:row r="19" ht="21" customHeight="1">
      <x:c r="A19" s="22" t="str">
        <x:v>E3-3</x:v>
      </x:c>
      <x:c r="B19" s="22" t="str">
        <x:v>ภาคตะวันออกเฉียงเหนือ</x:v>
      </x:c>
      <x:c r="C19" s="52"/>
      <x:c r="D19" s="52"/>
      <x:c r="E19" s="52"/>
      <x:c r="F19" s="66"/>
      <x:c r="G19" s="53"/>
      <x:c r="H19" s="53"/>
      <x:c r="I19" s="53"/>
      <x:c r="J19" s="60" t="str">
        <x:f>IF(COUNTA(C19:E19,G19:I19)=0,"",C19*$Q$2+(D19+E19)*$Q$3+G19*$Q$2+(H19+I19)*$Q$3)</x:f>
      </x:c>
      <x:c r="K19" s="61"/>
      <x:c r="L19" s="62" t="str">
        <x:f>IF(J19="","",MAX(J19-IF(K19="",0,K19),0))</x:f>
      </x:c>
      <x:c r="M19" s="59" t="str">
        <x:f>IF(J19="","",IF(K19&gt;=J19,"จ่ายแล้ว",IF(K19&gt;0,"จ่ายบางส่วน","ยังไม่ได้จ่าย")))</x:f>
      </x:c>
      <x:c r="N19" s="22"/>
    </x:row>
    <x:row r="20" ht="21" customHeight="1">
      <x:c r="A20" s="22" t="str">
        <x:v>E3-4</x:v>
      </x:c>
      <x:c r="B20" s="22" t="str">
        <x:v>ภาคตะวันออกเฉียงเหนือ</x:v>
      </x:c>
      <x:c r="C20" s="52"/>
      <x:c r="D20" s="52"/>
      <x:c r="E20" s="52"/>
      <x:c r="F20" s="66"/>
      <x:c r="G20" s="53"/>
      <x:c r="H20" s="53"/>
      <x:c r="I20" s="53"/>
      <x:c r="J20" s="60" t="str">
        <x:f>IF(COUNTA(C20:E20,G20:I20)=0,"",C20*$Q$2+(D20+E20)*$Q$3+G20*$Q$2+(H20+I20)*$Q$3)</x:f>
      </x:c>
      <x:c r="K20" s="61"/>
      <x:c r="L20" s="62" t="str">
        <x:f>IF(J20="","",MAX(J20-IF(K20="",0,K20),0))</x:f>
      </x:c>
      <x:c r="M20" s="59" t="str">
        <x:f>IF(J20="","",IF(K20&gt;=J20,"จ่ายแล้ว",IF(K20&gt;0,"จ่ายบางส่วน","ยังไม่ได้จ่าย")))</x:f>
      </x:c>
      <x:c r="N20" s="22"/>
    </x:row>
    <x:row r="21" ht="21" customHeight="1">
      <x:c r="A21" s="22" t="str">
        <x:v>E3-5</x:v>
      </x:c>
      <x:c r="B21" s="22" t="str">
        <x:v>ภาคตะวันออกเฉียงเหนือ</x:v>
      </x:c>
      <x:c r="C21" s="52"/>
      <x:c r="D21" s="52"/>
      <x:c r="E21" s="52"/>
      <x:c r="F21" s="66"/>
      <x:c r="G21" s="53"/>
      <x:c r="H21" s="53"/>
      <x:c r="I21" s="53"/>
      <x:c r="J21" s="60" t="str">
        <x:f>IF(COUNTA(C21:E21,G21:I21)=0,"",C21*$Q$2+(D21+E21)*$Q$3+G21*$Q$2+(H21+I21)*$Q$3)</x:f>
      </x:c>
      <x:c r="K21" s="61"/>
      <x:c r="L21" s="62" t="str">
        <x:f>IF(J21="","",MAX(J21-IF(K21="",0,K21),0))</x:f>
      </x:c>
      <x:c r="M21" s="59" t="str">
        <x:f>IF(J21="","",IF(K21&gt;=J21,"จ่ายแล้ว",IF(K21&gt;0,"จ่ายบางส่วน","ยังไม่ได้จ่าย")))</x:f>
      </x:c>
      <x:c r="N21" s="22"/>
    </x:row>
    <x:row r="22" ht="21" customHeight="1">
      <x:c r="A22" s="22" t="str">
        <x:v>E3-6</x:v>
      </x:c>
      <x:c r="B22" s="22" t="str">
        <x:v>ภาคตะวันออกเฉียงเหนือ</x:v>
      </x:c>
      <x:c r="C22" s="52"/>
      <x:c r="D22" s="52"/>
      <x:c r="E22" s="52"/>
      <x:c r="F22" s="66"/>
      <x:c r="G22" s="53"/>
      <x:c r="H22" s="53"/>
      <x:c r="I22" s="53"/>
      <x:c r="J22" s="60" t="str">
        <x:f>IF(COUNTA(C22:E22,G22:I22)=0,"",C22*$Q$2+(D22+E22)*$Q$3+G22*$Q$2+(H22+I22)*$Q$3)</x:f>
      </x:c>
      <x:c r="K22" s="61"/>
      <x:c r="L22" s="62" t="str">
        <x:f>IF(J22="","",MAX(J22-IF(K22="",0,K22),0))</x:f>
      </x:c>
      <x:c r="M22" s="59" t="str">
        <x:f>IF(J22="","",IF(K22&gt;=J22,"จ่ายแล้ว",IF(K22&gt;0,"จ่ายบางส่วน","ยังไม่ได้จ่าย")))</x:f>
      </x:c>
      <x:c r="N22" s="22"/>
    </x:row>
    <x:row r="23" ht="21" customHeight="1">
      <x:c r="A23" s="22" t="str">
        <x:v>E4-1</x:v>
      </x:c>
      <x:c r="B23" s="22" t="str">
        <x:v>ภาคตะวันออกเฉียงเหนือ</x:v>
      </x:c>
      <x:c r="C23" s="52"/>
      <x:c r="D23" s="52"/>
      <x:c r="E23" s="52"/>
      <x:c r="F23" s="66"/>
      <x:c r="G23" s="53"/>
      <x:c r="H23" s="53"/>
      <x:c r="I23" s="53"/>
      <x:c r="J23" s="60" t="str">
        <x:f>IF(COUNTA(C23:E23,G23:I23)=0,"",C23*$Q$2+(D23+E23)*$Q$3+G23*$Q$2+(H23+I23)*$Q$3)</x:f>
      </x:c>
      <x:c r="K23" s="61"/>
      <x:c r="L23" s="62" t="str">
        <x:f>IF(J23="","",MAX(J23-IF(K23="",0,K23),0))</x:f>
      </x:c>
      <x:c r="M23" s="59" t="str">
        <x:f>IF(J23="","",IF(K23&gt;=J23,"จ่ายแล้ว",IF(K23&gt;0,"จ่ายบางส่วน","ยังไม่ได้จ่าย")))</x:f>
      </x:c>
      <x:c r="N23" s="22"/>
    </x:row>
    <x:row r="24" ht="21" customHeight="1">
      <x:c r="A24" s="22" t="str">
        <x:v>E4-2</x:v>
      </x:c>
      <x:c r="B24" s="22" t="str">
        <x:v>ภาคตะวันออกเฉียงเหนือ</x:v>
      </x:c>
      <x:c r="C24" s="52"/>
      <x:c r="D24" s="52"/>
      <x:c r="E24" s="52"/>
      <x:c r="F24" s="66"/>
      <x:c r="G24" s="53"/>
      <x:c r="H24" s="53"/>
      <x:c r="I24" s="53"/>
      <x:c r="J24" s="60" t="str">
        <x:f>IF(COUNTA(C24:E24,G24:I24)=0,"",C24*$Q$2+(D24+E24)*$Q$3+G24*$Q$2+(H24+I24)*$Q$3)</x:f>
      </x:c>
      <x:c r="K24" s="61"/>
      <x:c r="L24" s="62" t="str">
        <x:f>IF(J24="","",MAX(J24-IF(K24="",0,K24),0))</x:f>
      </x:c>
      <x:c r="M24" s="59" t="str">
        <x:f>IF(J24="","",IF(K24&gt;=J24,"จ่ายแล้ว",IF(K24&gt;0,"จ่ายบางส่วน","ยังไม่ได้จ่าย")))</x:f>
      </x:c>
      <x:c r="N24" s="22"/>
    </x:row>
    <x:row r="25" ht="21" customHeight="1">
      <x:c r="A25" s="22" t="str">
        <x:v>E4-3</x:v>
      </x:c>
      <x:c r="B25" s="22" t="str">
        <x:v>ภาคตะวันออกเฉียงเหนือ</x:v>
      </x:c>
      <x:c r="C25" s="52"/>
      <x:c r="D25" s="52"/>
      <x:c r="E25" s="52"/>
      <x:c r="F25" s="66"/>
      <x:c r="G25" s="53"/>
      <x:c r="H25" s="53"/>
      <x:c r="I25" s="53"/>
      <x:c r="J25" s="60" t="str">
        <x:f>IF(COUNTA(C25:E25,G25:I25)=0,"",C25*$Q$2+(D25+E25)*$Q$3+G25*$Q$2+(H25+I25)*$Q$3)</x:f>
      </x:c>
      <x:c r="K25" s="61"/>
      <x:c r="L25" s="62" t="str">
        <x:f>IF(J25="","",MAX(J25-IF(K25="",0,K25),0))</x:f>
      </x:c>
      <x:c r="M25" s="59" t="str">
        <x:f>IF(J25="","",IF(K25&gt;=J25,"จ่ายแล้ว",IF(K25&gt;0,"จ่ายบางส่วน","ยังไม่ได้จ่าย")))</x:f>
      </x:c>
      <x:c r="N25" s="22"/>
    </x:row>
    <x:row r="26" ht="21" customHeight="1">
      <x:c r="A26" s="22" t="str">
        <x:v>E4-4</x:v>
      </x:c>
      <x:c r="B26" s="22" t="str">
        <x:v>ภาคตะวันออกเฉียงเหนือ</x:v>
      </x:c>
      <x:c r="C26" s="52"/>
      <x:c r="D26" s="52"/>
      <x:c r="E26" s="52"/>
      <x:c r="F26" s="66"/>
      <x:c r="G26" s="53"/>
      <x:c r="H26" s="53"/>
      <x:c r="I26" s="53"/>
      <x:c r="J26" s="60" t="str">
        <x:f>IF(COUNTA(C26:E26,G26:I26)=0,"",C26*$Q$2+(D26+E26)*$Q$3+G26*$Q$2+(H26+I26)*$Q$3)</x:f>
      </x:c>
      <x:c r="K26" s="61"/>
      <x:c r="L26" s="62" t="str">
        <x:f>IF(J26="","",MAX(J26-IF(K26="",0,K26),0))</x:f>
      </x:c>
      <x:c r="M26" s="59" t="str">
        <x:f>IF(J26="","",IF(K26&gt;=J26,"จ่ายแล้ว",IF(K26&gt;0,"จ่ายบางส่วน","ยังไม่ได้จ่าย")))</x:f>
      </x:c>
      <x:c r="N26" s="22"/>
    </x:row>
    <x:row r="27" ht="21" customHeight="1">
      <x:c r="A27" s="22" t="str">
        <x:v>E4-5</x:v>
      </x:c>
      <x:c r="B27" s="22" t="str">
        <x:v>ภาคตะวันออกเฉียงเหนือ</x:v>
      </x:c>
      <x:c r="C27" s="52"/>
      <x:c r="D27" s="52"/>
      <x:c r="E27" s="52"/>
      <x:c r="F27" s="66"/>
      <x:c r="G27" s="53"/>
      <x:c r="H27" s="53"/>
      <x:c r="I27" s="53"/>
      <x:c r="J27" s="60" t="str">
        <x:f>IF(COUNTA(C27:E27,G27:I27)=0,"",C27*$Q$2+(D27+E27)*$Q$3+G27*$Q$2+(H27+I27)*$Q$3)</x:f>
      </x:c>
      <x:c r="K27" s="61"/>
      <x:c r="L27" s="62" t="str">
        <x:f>IF(J27="","",MAX(J27-IF(K27="",0,K27),0))</x:f>
      </x:c>
      <x:c r="M27" s="59" t="str">
        <x:f>IF(J27="","",IF(K27&gt;=J27,"จ่ายแล้ว",IF(K27&gt;0,"จ่ายบางส่วน","ยังไม่ได้จ่าย")))</x:f>
      </x:c>
      <x:c r="N27" s="22"/>
    </x:row>
    <x:row r="28" ht="21" customHeight="1">
      <x:c r="A28" s="22" t="str">
        <x:v>E4-6</x:v>
      </x:c>
      <x:c r="B28" s="22" t="str">
        <x:v>ภาคตะวันออกเฉียงเหนือ</x:v>
      </x:c>
      <x:c r="C28" s="52"/>
      <x:c r="D28" s="52"/>
      <x:c r="E28" s="52"/>
      <x:c r="F28" s="66"/>
      <x:c r="G28" s="53"/>
      <x:c r="H28" s="53"/>
      <x:c r="I28" s="53"/>
      <x:c r="J28" s="60" t="str">
        <x:f>IF(COUNTA(C28:E28,G28:I28)=0,"",C28*$Q$2+(D28+E28)*$Q$3+G28*$Q$2+(H28+I28)*$Q$3)</x:f>
      </x:c>
      <x:c r="K28" s="61"/>
      <x:c r="L28" s="62" t="str">
        <x:f>IF(J28="","",MAX(J28-IF(K28="",0,K28),0))</x:f>
      </x:c>
      <x:c r="M28" s="59" t="str">
        <x:f>IF(J28="","",IF(K28&gt;=J28,"จ่ายแล้ว",IF(K28&gt;0,"จ่ายบางส่วน","ยังไม่ได้จ่าย")))</x:f>
      </x:c>
      <x:c r="N28" s="22"/>
    </x:row>
    <x:row r="29" ht="21" customHeight="1">
      <x:c r="A29" s="22" t="str">
        <x:v>E5-1</x:v>
      </x:c>
      <x:c r="B29" s="22" t="str">
        <x:v>ภาคตะวันออกเฉียงเหนือ</x:v>
      </x:c>
      <x:c r="C29" s="52"/>
      <x:c r="D29" s="52"/>
      <x:c r="E29" s="52"/>
      <x:c r="F29" s="66"/>
      <x:c r="G29" s="53"/>
      <x:c r="H29" s="53"/>
      <x:c r="I29" s="53"/>
      <x:c r="J29" s="60" t="str">
        <x:f>IF(COUNTA(C29:E29,G29:I29)=0,"",C29*$Q$2+(D29+E29)*$Q$3+G29*$Q$2+(H29+I29)*$Q$3)</x:f>
      </x:c>
      <x:c r="K29" s="61"/>
      <x:c r="L29" s="62" t="str">
        <x:f>IF(J29="","",MAX(J29-IF(K29="",0,K29),0))</x:f>
      </x:c>
      <x:c r="M29" s="59" t="str">
        <x:f>IF(J29="","",IF(K29&gt;=J29,"จ่ายแล้ว",IF(K29&gt;0,"จ่ายบางส่วน","ยังไม่ได้จ่าย")))</x:f>
      </x:c>
      <x:c r="N29" s="22"/>
    </x:row>
    <x:row r="30" ht="21" customHeight="1">
      <x:c r="A30" s="22" t="str">
        <x:v>E5-2</x:v>
      </x:c>
      <x:c r="B30" s="22" t="str">
        <x:v>ภาคตะวันออกเฉียงเหนือ</x:v>
      </x:c>
      <x:c r="C30" s="52"/>
      <x:c r="D30" s="52"/>
      <x:c r="E30" s="52"/>
      <x:c r="F30" s="66"/>
      <x:c r="G30" s="53"/>
      <x:c r="H30" s="53"/>
      <x:c r="I30" s="53"/>
      <x:c r="J30" s="60" t="str">
        <x:f>IF(COUNTA(C30:E30,G30:I30)=0,"",C30*$Q$2+(D30+E30)*$Q$3+G30*$Q$2+(H30+I30)*$Q$3)</x:f>
      </x:c>
      <x:c r="K30" s="61"/>
      <x:c r="L30" s="62" t="str">
        <x:f>IF(J30="","",MAX(J30-IF(K30="",0,K30),0))</x:f>
      </x:c>
      <x:c r="M30" s="59" t="str">
        <x:f>IF(J30="","",IF(K30&gt;=J30,"จ่ายแล้ว",IF(K30&gt;0,"จ่ายบางส่วน","ยังไม่ได้จ่าย")))</x:f>
      </x:c>
      <x:c r="N30" s="22"/>
    </x:row>
    <x:row r="31" ht="21" customHeight="1">
      <x:c r="A31" s="22" t="str">
        <x:v>E5-3</x:v>
      </x:c>
      <x:c r="B31" s="22" t="str">
        <x:v>ภาคตะวันออกเฉียงเหนือ</x:v>
      </x:c>
      <x:c r="C31" s="52"/>
      <x:c r="D31" s="52"/>
      <x:c r="E31" s="52"/>
      <x:c r="F31" s="66"/>
      <x:c r="G31" s="53"/>
      <x:c r="H31" s="53"/>
      <x:c r="I31" s="53"/>
      <x:c r="J31" s="60" t="str">
        <x:f>IF(COUNTA(C31:E31,G31:I31)=0,"",C31*$Q$2+(D31+E31)*$Q$3+G31*$Q$2+(H31+I31)*$Q$3)</x:f>
      </x:c>
      <x:c r="K31" s="61"/>
      <x:c r="L31" s="62" t="str">
        <x:f>IF(J31="","",MAX(J31-IF(K31="",0,K31),0))</x:f>
      </x:c>
      <x:c r="M31" s="59" t="str">
        <x:f>IF(J31="","",IF(K31&gt;=J31,"จ่ายแล้ว",IF(K31&gt;0,"จ่ายบางส่วน","ยังไม่ได้จ่าย")))</x:f>
      </x:c>
      <x:c r="N31" s="22"/>
    </x:row>
    <x:row r="32" ht="21" customHeight="1">
      <x:c r="A32" s="22" t="str">
        <x:v>E5-4</x:v>
      </x:c>
      <x:c r="B32" s="22" t="str">
        <x:v>ภาคตะวันออกเฉียงเหนือ</x:v>
      </x:c>
      <x:c r="C32" s="52"/>
      <x:c r="D32" s="52"/>
      <x:c r="E32" s="52"/>
      <x:c r="F32" s="66"/>
      <x:c r="G32" s="53"/>
      <x:c r="H32" s="53"/>
      <x:c r="I32" s="53"/>
      <x:c r="J32" s="60" t="str">
        <x:f>IF(COUNTA(C32:E32,G32:I32)=0,"",C32*$Q$2+(D32+E32)*$Q$3+G32*$Q$2+(H32+I32)*$Q$3)</x:f>
      </x:c>
      <x:c r="K32" s="61"/>
      <x:c r="L32" s="62" t="str">
        <x:f>IF(J32="","",MAX(J32-IF(K32="",0,K32),0))</x:f>
      </x:c>
      <x:c r="M32" s="59" t="str">
        <x:f>IF(J32="","",IF(K32&gt;=J32,"จ่ายแล้ว",IF(K32&gt;0,"จ่ายบางส่วน","ยังไม่ได้จ่าย")))</x:f>
      </x:c>
      <x:c r="N32" s="22"/>
    </x:row>
    <x:row r="33" ht="21" customHeight="1">
      <x:c r="A33" s="22" t="str">
        <x:v>E5-5</x:v>
      </x:c>
      <x:c r="B33" s="22" t="str">
        <x:v>ภาคตะวันออกเฉียงเหนือ</x:v>
      </x:c>
      <x:c r="C33" s="52"/>
      <x:c r="D33" s="52"/>
      <x:c r="E33" s="52"/>
      <x:c r="F33" s="66"/>
      <x:c r="G33" s="53"/>
      <x:c r="H33" s="53"/>
      <x:c r="I33" s="53"/>
      <x:c r="J33" s="60" t="str">
        <x:f>IF(COUNTA(C33:E33,G33:I33)=0,"",C33*$Q$2+(D33+E33)*$Q$3+G33*$Q$2+(H33+I33)*$Q$3)</x:f>
      </x:c>
      <x:c r="K33" s="61"/>
      <x:c r="L33" s="62" t="str">
        <x:f>IF(J33="","",MAX(J33-IF(K33="",0,K33),0))</x:f>
      </x:c>
      <x:c r="M33" s="59" t="str">
        <x:f>IF(J33="","",IF(K33&gt;=J33,"จ่ายแล้ว",IF(K33&gt;0,"จ่ายบางส่วน","ยังไม่ได้จ่าย")))</x:f>
      </x:c>
      <x:c r="N33" s="22"/>
    </x:row>
    <x:row r="34" ht="21" customHeight="1">
      <x:c r="A34" s="22" t="str">
        <x:v>E5-6</x:v>
      </x:c>
      <x:c r="B34" s="22" t="str">
        <x:v>ภาคตะวันออกเฉียงเหนือ</x:v>
      </x:c>
      <x:c r="C34" s="52"/>
      <x:c r="D34" s="52"/>
      <x:c r="E34" s="52"/>
      <x:c r="F34" s="66"/>
      <x:c r="G34" s="53"/>
      <x:c r="H34" s="53"/>
      <x:c r="I34" s="53"/>
      <x:c r="J34" s="60" t="str">
        <x:f>IF(COUNTA(C34:E34,G34:I34)=0,"",C34*$Q$2+(D34+E34)*$Q$3+G34*$Q$2+(H34+I34)*$Q$3)</x:f>
      </x:c>
      <x:c r="K34" s="61"/>
      <x:c r="L34" s="62" t="str">
        <x:f>IF(J34="","",MAX(J34-IF(K34="",0,K34),0))</x:f>
      </x:c>
      <x:c r="M34" s="59" t="str">
        <x:f>IF(J34="","",IF(K34&gt;=J34,"จ่ายแล้ว",IF(K34&gt;0,"จ่ายบางส่วน","ยังไม่ได้จ่าย")))</x:f>
      </x:c>
      <x:c r="N34" s="22"/>
    </x:row>
    <x:row r="35" ht="21" customHeight="1">
      <x:c r="A35" s="22" t="str">
        <x:v>E6-1</x:v>
      </x:c>
      <x:c r="B35" s="22" t="str">
        <x:v>ภาคตะวันออกเฉียงเหนือ</x:v>
      </x:c>
      <x:c r="C35" s="52"/>
      <x:c r="D35" s="52"/>
      <x:c r="E35" s="52"/>
      <x:c r="F35" s="66"/>
      <x:c r="G35" s="53"/>
      <x:c r="H35" s="53"/>
      <x:c r="I35" s="53"/>
      <x:c r="J35" s="60" t="str">
        <x:f>IF(COUNTA(C35:E35,G35:I35)=0,"",C35*$Q$2+(D35+E35)*$Q$3+G35*$Q$2+(H35+I35)*$Q$3)</x:f>
      </x:c>
      <x:c r="K35" s="61"/>
      <x:c r="L35" s="62" t="str">
        <x:f>IF(J35="","",MAX(J35-IF(K35="",0,K35),0))</x:f>
      </x:c>
      <x:c r="M35" s="59" t="str">
        <x:f>IF(J35="","",IF(K35&gt;=J35,"จ่ายแล้ว",IF(K35&gt;0,"จ่ายบางส่วน","ยังไม่ได้จ่าย")))</x:f>
      </x:c>
      <x:c r="N35" s="22"/>
    </x:row>
    <x:row r="36" ht="21" customHeight="1">
      <x:c r="A36" s="22" t="str">
        <x:v>E6-2</x:v>
      </x:c>
      <x:c r="B36" s="22" t="str">
        <x:v>ภาคตะวันออกเฉียงเหนือ</x:v>
      </x:c>
      <x:c r="C36" s="52"/>
      <x:c r="D36" s="52"/>
      <x:c r="E36" s="52"/>
      <x:c r="F36" s="66"/>
      <x:c r="G36" s="53"/>
      <x:c r="H36" s="53"/>
      <x:c r="I36" s="53"/>
      <x:c r="J36" s="60" t="str">
        <x:f>IF(COUNTA(C36:E36,G36:I36)=0,"",C36*$Q$2+(D36+E36)*$Q$3+G36*$Q$2+(H36+I36)*$Q$3)</x:f>
      </x:c>
      <x:c r="K36" s="61"/>
      <x:c r="L36" s="62" t="str">
        <x:f>IF(J36="","",MAX(J36-IF(K36="",0,K36),0))</x:f>
      </x:c>
      <x:c r="M36" s="59" t="str">
        <x:f>IF(J36="","",IF(K36&gt;=J36,"จ่ายแล้ว",IF(K36&gt;0,"จ่ายบางส่วน","ยังไม่ได้จ่าย")))</x:f>
      </x:c>
      <x:c r="N36" s="22"/>
    </x:row>
    <x:row r="37" ht="21" customHeight="1">
      <x:c r="A37" s="22" t="str">
        <x:v>E6-3</x:v>
      </x:c>
      <x:c r="B37" s="22" t="str">
        <x:v>ภาคตะวันออกเฉียงเหนือ</x:v>
      </x:c>
      <x:c r="C37" s="52"/>
      <x:c r="D37" s="52"/>
      <x:c r="E37" s="52"/>
      <x:c r="F37" s="66"/>
      <x:c r="G37" s="53"/>
      <x:c r="H37" s="53"/>
      <x:c r="I37" s="53"/>
      <x:c r="J37" s="60" t="str">
        <x:f>IF(COUNTA(C37:E37,G37:I37)=0,"",C37*$Q$2+(D37+E37)*$Q$3+G37*$Q$2+(H37+I37)*$Q$3)</x:f>
      </x:c>
      <x:c r="K37" s="61"/>
      <x:c r="L37" s="62" t="str">
        <x:f>IF(J37="","",MAX(J37-IF(K37="",0,K37),0))</x:f>
      </x:c>
      <x:c r="M37" s="59" t="str">
        <x:f>IF(J37="","",IF(K37&gt;=J37,"จ่ายแล้ว",IF(K37&gt;0,"จ่ายบางส่วน","ยังไม่ได้จ่าย")))</x:f>
      </x:c>
      <x:c r="N37" s="22"/>
    </x:row>
    <x:row r="38" ht="21" customHeight="1">
      <x:c r="A38" s="22" t="str">
        <x:v>E6-4</x:v>
      </x:c>
      <x:c r="B38" s="22" t="str">
        <x:v>ภาคตะวันออกเฉียงเหนือ</x:v>
      </x:c>
      <x:c r="C38" s="52"/>
      <x:c r="D38" s="52"/>
      <x:c r="E38" s="52"/>
      <x:c r="F38" s="66"/>
      <x:c r="G38" s="53"/>
      <x:c r="H38" s="53"/>
      <x:c r="I38" s="53"/>
      <x:c r="J38" s="60" t="str">
        <x:f>IF(COUNTA(C38:E38,G38:I38)=0,"",C38*$Q$2+(D38+E38)*$Q$3+G38*$Q$2+(H38+I38)*$Q$3)</x:f>
      </x:c>
      <x:c r="K38" s="61"/>
      <x:c r="L38" s="62" t="str">
        <x:f>IF(J38="","",MAX(J38-IF(K38="",0,K38),0))</x:f>
      </x:c>
      <x:c r="M38" s="59" t="str">
        <x:f>IF(J38="","",IF(K38&gt;=J38,"จ่ายแล้ว",IF(K38&gt;0,"จ่ายบางส่วน","ยังไม่ได้จ่าย")))</x:f>
      </x:c>
      <x:c r="N38" s="22"/>
    </x:row>
    <x:row r="39" ht="21" customHeight="1">
      <x:c r="A39" s="22" t="str">
        <x:v>E6-5</x:v>
      </x:c>
      <x:c r="B39" s="22" t="str">
        <x:v>ภาคตะวันออกเฉียงเหนือ</x:v>
      </x:c>
      <x:c r="C39" s="52"/>
      <x:c r="D39" s="52"/>
      <x:c r="E39" s="52"/>
      <x:c r="F39" s="66"/>
      <x:c r="G39" s="53"/>
      <x:c r="H39" s="53"/>
      <x:c r="I39" s="53"/>
      <x:c r="J39" s="60" t="str">
        <x:f>IF(COUNTA(C39:E39,G39:I39)=0,"",C39*$Q$2+(D39+E39)*$Q$3+G39*$Q$2+(H39+I39)*$Q$3)</x:f>
      </x:c>
      <x:c r="K39" s="61"/>
      <x:c r="L39" s="62" t="str">
        <x:f>IF(J39="","",MAX(J39-IF(K39="",0,K39),0))</x:f>
      </x:c>
      <x:c r="M39" s="59" t="str">
        <x:f>IF(J39="","",IF(K39&gt;=J39,"จ่ายแล้ว",IF(K39&gt;0,"จ่ายบางส่วน","ยังไม่ได้จ่าย")))</x:f>
      </x:c>
      <x:c r="N39" s="22"/>
    </x:row>
    <x:row r="40" ht="21" customHeight="1">
      <x:c r="A40" s="22" t="str">
        <x:v>E6-6</x:v>
      </x:c>
      <x:c r="B40" s="22" t="str">
        <x:v>ภาคตะวันออกเฉียงเหนือ</x:v>
      </x:c>
      <x:c r="C40" s="52"/>
      <x:c r="D40" s="52"/>
      <x:c r="E40" s="52"/>
      <x:c r="F40" s="66"/>
      <x:c r="G40" s="53"/>
      <x:c r="H40" s="53"/>
      <x:c r="I40" s="53"/>
      <x:c r="J40" s="60" t="str">
        <x:f>IF(COUNTA(C40:E40,G40:I40)=0,"",C40*$Q$2+(D40+E40)*$Q$3+G40*$Q$2+(H40+I40)*$Q$3)</x:f>
      </x:c>
      <x:c r="K40" s="61"/>
      <x:c r="L40" s="62" t="str">
        <x:f>IF(J40="","",MAX(J40-IF(K40="",0,K40),0))</x:f>
      </x:c>
      <x:c r="M40" s="59" t="str">
        <x:f>IF(J40="","",IF(K40&gt;=J40,"จ่ายแล้ว",IF(K40&gt;0,"จ่ายบางส่วน","ยังไม่ได้จ่าย")))</x:f>
      </x:c>
      <x:c r="N40" s="22"/>
    </x:row>
    <x:row r="41" ht="21" customHeight="1">
      <x:c r="A41" s="22" t="str">
        <x:v>E7-1</x:v>
      </x:c>
      <x:c r="B41" s="22" t="str">
        <x:v>ภาคตะวันออกเฉียงเหนือ</x:v>
      </x:c>
      <x:c r="C41" s="52"/>
      <x:c r="D41" s="52"/>
      <x:c r="E41" s="52"/>
      <x:c r="F41" s="66"/>
      <x:c r="G41" s="53"/>
      <x:c r="H41" s="53"/>
      <x:c r="I41" s="53"/>
      <x:c r="J41" s="60" t="str">
        <x:f>IF(COUNTA(C41:E41,G41:I41)=0,"",C41*$Q$2+(D41+E41)*$Q$3+G41*$Q$2+(H41+I41)*$Q$3)</x:f>
      </x:c>
      <x:c r="K41" s="61"/>
      <x:c r="L41" s="62" t="str">
        <x:f>IF(J41="","",MAX(J41-IF(K41="",0,K41),0))</x:f>
      </x:c>
      <x:c r="M41" s="59" t="str">
        <x:f>IF(J41="","",IF(K41&gt;=J41,"จ่ายแล้ว",IF(K41&gt;0,"จ่ายบางส่วน","ยังไม่ได้จ่าย")))</x:f>
      </x:c>
      <x:c r="N41" s="22"/>
    </x:row>
    <x:row r="42" ht="21" customHeight="1">
      <x:c r="A42" s="22" t="str">
        <x:v>E7-2</x:v>
      </x:c>
      <x:c r="B42" s="22" t="str">
        <x:v>ภาคตะวันออกเฉียงเหนือ</x:v>
      </x:c>
      <x:c r="C42" s="52"/>
      <x:c r="D42" s="52"/>
      <x:c r="E42" s="52"/>
      <x:c r="F42" s="66"/>
      <x:c r="G42" s="53"/>
      <x:c r="H42" s="53"/>
      <x:c r="I42" s="53"/>
      <x:c r="J42" s="60" t="str">
        <x:f>IF(COUNTA(C42:E42,G42:I42)=0,"",C42*$Q$2+(D42+E42)*$Q$3+G42*$Q$2+(H42+I42)*$Q$3)</x:f>
      </x:c>
      <x:c r="K42" s="61"/>
      <x:c r="L42" s="62" t="str">
        <x:f>IF(J42="","",MAX(J42-IF(K42="",0,K42),0))</x:f>
      </x:c>
      <x:c r="M42" s="59" t="str">
        <x:f>IF(J42="","",IF(K42&gt;=J42,"จ่ายแล้ว",IF(K42&gt;0,"จ่ายบางส่วน","ยังไม่ได้จ่าย")))</x:f>
      </x:c>
      <x:c r="N42" s="22"/>
    </x:row>
    <x:row r="43" ht="21" customHeight="1">
      <x:c r="A43" s="22" t="str">
        <x:v>E7-3</x:v>
      </x:c>
      <x:c r="B43" s="22" t="str">
        <x:v>ภาคตะวันออกเฉียงเหนือ</x:v>
      </x:c>
      <x:c r="C43" s="52"/>
      <x:c r="D43" s="52"/>
      <x:c r="E43" s="52"/>
      <x:c r="F43" s="66"/>
      <x:c r="G43" s="53"/>
      <x:c r="H43" s="53"/>
      <x:c r="I43" s="53"/>
      <x:c r="J43" s="60" t="str">
        <x:f>IF(COUNTA(C43:E43,G43:I43)=0,"",C43*$Q$2+(D43+E43)*$Q$3+G43*$Q$2+(H43+I43)*$Q$3)</x:f>
      </x:c>
      <x:c r="K43" s="61"/>
      <x:c r="L43" s="62" t="str">
        <x:f>IF(J43="","",MAX(J43-IF(K43="",0,K43),0))</x:f>
      </x:c>
      <x:c r="M43" s="59" t="str">
        <x:f>IF(J43="","",IF(K43&gt;=J43,"จ่ายแล้ว",IF(K43&gt;0,"จ่ายบางส่วน","ยังไม่ได้จ่าย")))</x:f>
      </x:c>
      <x:c r="N43" s="22"/>
    </x:row>
    <x:row r="44" ht="21" customHeight="1">
      <x:c r="A44" s="22" t="str">
        <x:v>E7-4</x:v>
      </x:c>
      <x:c r="B44" s="22" t="str">
        <x:v>ภาคตะวันออกเฉียงเหนือ</x:v>
      </x:c>
      <x:c r="C44" s="52"/>
      <x:c r="D44" s="52"/>
      <x:c r="E44" s="52"/>
      <x:c r="F44" s="66"/>
      <x:c r="G44" s="53"/>
      <x:c r="H44" s="53"/>
      <x:c r="I44" s="53"/>
      <x:c r="J44" s="60" t="str">
        <x:f>IF(COUNTA(C44:E44,G44:I44)=0,"",C44*$Q$2+(D44+E44)*$Q$3+G44*$Q$2+(H44+I44)*$Q$3)</x:f>
      </x:c>
      <x:c r="K44" s="61"/>
      <x:c r="L44" s="62" t="str">
        <x:f>IF(J44="","",MAX(J44-IF(K44="",0,K44),0))</x:f>
      </x:c>
      <x:c r="M44" s="59" t="str">
        <x:f>IF(J44="","",IF(K44&gt;=J44,"จ่ายแล้ว",IF(K44&gt;0,"จ่ายบางส่วน","ยังไม่ได้จ่าย")))</x:f>
      </x:c>
      <x:c r="N44" s="22"/>
    </x:row>
    <x:row r="45" ht="21" customHeight="1">
      <x:c r="A45" s="22" t="str">
        <x:v>E7-5</x:v>
      </x:c>
      <x:c r="B45" s="22" t="str">
        <x:v>ภาคตะวันออกเฉียงเหนือ</x:v>
      </x:c>
      <x:c r="C45" s="52"/>
      <x:c r="D45" s="52"/>
      <x:c r="E45" s="52"/>
      <x:c r="F45" s="66"/>
      <x:c r="G45" s="53"/>
      <x:c r="H45" s="53"/>
      <x:c r="I45" s="53"/>
      <x:c r="J45" s="60" t="str">
        <x:f>IF(COUNTA(C45:E45,G45:I45)=0,"",C45*$Q$2+(D45+E45)*$Q$3+G45*$Q$2+(H45+I45)*$Q$3)</x:f>
      </x:c>
      <x:c r="K45" s="61"/>
      <x:c r="L45" s="62" t="str">
        <x:f>IF(J45="","",MAX(J45-IF(K45="",0,K45),0))</x:f>
      </x:c>
      <x:c r="M45" s="59" t="str">
        <x:f>IF(J45="","",IF(K45&gt;=J45,"จ่ายแล้ว",IF(K45&gt;0,"จ่ายบางส่วน","ยังไม่ได้จ่าย")))</x:f>
      </x:c>
      <x:c r="N45" s="22"/>
    </x:row>
    <x:row r="46" ht="21" customHeight="1">
      <x:c r="A46" s="22" t="str">
        <x:v>E7-6</x:v>
      </x:c>
      <x:c r="B46" s="22" t="str">
        <x:v>ภาคตะวันออกเฉียงเหนือ</x:v>
      </x:c>
      <x:c r="C46" s="52"/>
      <x:c r="D46" s="52"/>
      <x:c r="E46" s="52"/>
      <x:c r="F46" s="66"/>
      <x:c r="G46" s="53"/>
      <x:c r="H46" s="53"/>
      <x:c r="I46" s="53"/>
      <x:c r="J46" s="60" t="str">
        <x:f>IF(COUNTA(C46:E46,G46:I46)=0,"",C46*$Q$2+(D46+E46)*$Q$3+G46*$Q$2+(H46+I46)*$Q$3)</x:f>
      </x:c>
      <x:c r="K46" s="61"/>
      <x:c r="L46" s="62" t="str">
        <x:f>IF(J46="","",MAX(J46-IF(K46="",0,K46),0))</x:f>
      </x:c>
      <x:c r="M46" s="59" t="str">
        <x:f>IF(J46="","",IF(K46&gt;=J46,"จ่ายแล้ว",IF(K46&gt;0,"จ่ายบางส่วน","ยังไม่ได้จ่าย")))</x:f>
      </x:c>
      <x:c r="N46" s="22"/>
    </x:row>
    <x:row r="47" ht="21" customHeight="1">
      <x:c r="A47" s="22" t="str">
        <x:v>E8-1</x:v>
      </x:c>
      <x:c r="B47" s="22" t="str">
        <x:v>ภาคตะวันออกเฉียงเหนือ</x:v>
      </x:c>
      <x:c r="C47" s="52"/>
      <x:c r="D47" s="52"/>
      <x:c r="E47" s="52"/>
      <x:c r="F47" s="66"/>
      <x:c r="G47" s="53"/>
      <x:c r="H47" s="53"/>
      <x:c r="I47" s="53"/>
      <x:c r="J47" s="60" t="str">
        <x:f>IF(COUNTA(C47:E47,G47:I47)=0,"",C47*$Q$2+(D47+E47)*$Q$3+G47*$Q$2+(H47+I47)*$Q$3)</x:f>
      </x:c>
      <x:c r="K47" s="61"/>
      <x:c r="L47" s="62" t="str">
        <x:f>IF(J47="","",MAX(J47-IF(K47="",0,K47),0))</x:f>
      </x:c>
      <x:c r="M47" s="59" t="str">
        <x:f>IF(J47="","",IF(K47&gt;=J47,"จ่ายแล้ว",IF(K47&gt;0,"จ่ายบางส่วน","ยังไม่ได้จ่าย")))</x:f>
      </x:c>
      <x:c r="N47" s="22"/>
    </x:row>
    <x:row r="48" ht="21" customHeight="1">
      <x:c r="A48" s="22" t="str">
        <x:v>E8-2</x:v>
      </x:c>
      <x:c r="B48" s="22" t="str">
        <x:v>ภาคตะวันออกเฉียงเหนือ</x:v>
      </x:c>
      <x:c r="C48" s="52"/>
      <x:c r="D48" s="52"/>
      <x:c r="E48" s="52"/>
      <x:c r="F48" s="66"/>
      <x:c r="G48" s="53"/>
      <x:c r="H48" s="53"/>
      <x:c r="I48" s="53"/>
      <x:c r="J48" s="60" t="str">
        <x:f>IF(COUNTA(C48:E48,G48:I48)=0,"",C48*$Q$2+(D48+E48)*$Q$3+G48*$Q$2+(H48+I48)*$Q$3)</x:f>
      </x:c>
      <x:c r="K48" s="61"/>
      <x:c r="L48" s="62" t="str">
        <x:f>IF(J48="","",MAX(J48-IF(K48="",0,K48),0))</x:f>
      </x:c>
      <x:c r="M48" s="59" t="str">
        <x:f>IF(J48="","",IF(K48&gt;=J48,"จ่ายแล้ว",IF(K48&gt;0,"จ่ายบางส่วน","ยังไม่ได้จ่าย")))</x:f>
      </x:c>
      <x:c r="N48" s="22"/>
    </x:row>
    <x:row r="49" ht="21" customHeight="1">
      <x:c r="A49" s="22" t="str">
        <x:v>E8-3</x:v>
      </x:c>
      <x:c r="B49" s="22" t="str">
        <x:v>ภาคตะวันออกเฉียงเหนือ</x:v>
      </x:c>
      <x:c r="C49" s="52"/>
      <x:c r="D49" s="52"/>
      <x:c r="E49" s="52"/>
      <x:c r="F49" s="66"/>
      <x:c r="G49" s="53"/>
      <x:c r="H49" s="53"/>
      <x:c r="I49" s="53"/>
      <x:c r="J49" s="60" t="str">
        <x:f>IF(COUNTA(C49:E49,G49:I49)=0,"",C49*$Q$2+(D49+E49)*$Q$3+G49*$Q$2+(H49+I49)*$Q$3)</x:f>
      </x:c>
      <x:c r="K49" s="61"/>
      <x:c r="L49" s="62" t="str">
        <x:f>IF(J49="","",MAX(J49-IF(K49="",0,K49),0))</x:f>
      </x:c>
      <x:c r="M49" s="59" t="str">
        <x:f>IF(J49="","",IF(K49&gt;=J49,"จ่ายแล้ว",IF(K49&gt;0,"จ่ายบางส่วน","ยังไม่ได้จ่าย")))</x:f>
      </x:c>
      <x:c r="N49" s="22"/>
    </x:row>
    <x:row r="50" ht="21" customHeight="1">
      <x:c r="A50" s="22" t="str">
        <x:v>E8-4</x:v>
      </x:c>
      <x:c r="B50" s="22" t="str">
        <x:v>ภาคตะวันออกเฉียงเหนือ</x:v>
      </x:c>
      <x:c r="C50" s="52"/>
      <x:c r="D50" s="52"/>
      <x:c r="E50" s="52"/>
      <x:c r="F50" s="66"/>
      <x:c r="G50" s="53"/>
      <x:c r="H50" s="53"/>
      <x:c r="I50" s="53"/>
      <x:c r="J50" s="60" t="str">
        <x:f>IF(COUNTA(C50:E50,G50:I50)=0,"",C50*$Q$2+(D50+E50)*$Q$3+G50*$Q$2+(H50+I50)*$Q$3)</x:f>
      </x:c>
      <x:c r="K50" s="61"/>
      <x:c r="L50" s="62" t="str">
        <x:f>IF(J50="","",MAX(J50-IF(K50="",0,K50),0))</x:f>
      </x:c>
      <x:c r="M50" s="59" t="str">
        <x:f>IF(J50="","",IF(K50&gt;=J50,"จ่ายแล้ว",IF(K50&gt;0,"จ่ายบางส่วน","ยังไม่ได้จ่าย")))</x:f>
      </x:c>
      <x:c r="N50" s="22"/>
    </x:row>
    <x:row r="51" ht="21" customHeight="1">
      <x:c r="A51" s="22" t="str">
        <x:v>E8-5</x:v>
      </x:c>
      <x:c r="B51" s="22" t="str">
        <x:v>ภาคตะวันออกเฉียงเหนือ</x:v>
      </x:c>
      <x:c r="C51" s="52"/>
      <x:c r="D51" s="52"/>
      <x:c r="E51" s="52"/>
      <x:c r="F51" s="66"/>
      <x:c r="G51" s="53"/>
      <x:c r="H51" s="53"/>
      <x:c r="I51" s="53"/>
      <x:c r="J51" s="60" t="str">
        <x:f>IF(COUNTA(C51:E51,G51:I51)=0,"",C51*$Q$2+(D51+E51)*$Q$3+G51*$Q$2+(H51+I51)*$Q$3)</x:f>
      </x:c>
      <x:c r="K51" s="61"/>
      <x:c r="L51" s="62" t="str">
        <x:f>IF(J51="","",MAX(J51-IF(K51="",0,K51),0))</x:f>
      </x:c>
      <x:c r="M51" s="59" t="str">
        <x:f>IF(J51="","",IF(K51&gt;=J51,"จ่ายแล้ว",IF(K51&gt;0,"จ่ายบางส่วน","ยังไม่ได้จ่าย")))</x:f>
      </x:c>
      <x:c r="N51" s="22"/>
    </x:row>
    <x:row r="52" ht="21" customHeight="1">
      <x:c r="A52" s="22" t="str">
        <x:v>E8-6</x:v>
      </x:c>
      <x:c r="B52" s="22" t="str">
        <x:v>ภาคตะวันออกเฉียงเหนือ</x:v>
      </x:c>
      <x:c r="C52" s="52"/>
      <x:c r="D52" s="52"/>
      <x:c r="E52" s="52"/>
      <x:c r="F52" s="66"/>
      <x:c r="G52" s="53"/>
      <x:c r="H52" s="53"/>
      <x:c r="I52" s="53"/>
      <x:c r="J52" s="60" t="str">
        <x:f>IF(COUNTA(C52:E52,G52:I52)=0,"",C52*$Q$2+(D52+E52)*$Q$3+G52*$Q$2+(H52+I52)*$Q$3)</x:f>
      </x:c>
      <x:c r="K52" s="61"/>
      <x:c r="L52" s="62" t="str">
        <x:f>IF(J52="","",MAX(J52-IF(K52="",0,K52),0))</x:f>
      </x:c>
      <x:c r="M52" s="59" t="str">
        <x:f>IF(J52="","",IF(K52&gt;=J52,"จ่ายแล้ว",IF(K52&gt;0,"จ่ายบางส่วน","ยังไม่ได้จ่าย")))</x:f>
      </x:c>
      <x:c r="N52" s="22"/>
    </x:row>
    <x:row r="53" ht="21" customHeight="1">
      <x:c r="A53" s="22" t="str">
        <x:v>E9-1</x:v>
      </x:c>
      <x:c r="B53" s="22" t="str">
        <x:v>ภาคตะวันออกเฉียงเหนือ</x:v>
      </x:c>
      <x:c r="C53" s="52"/>
      <x:c r="D53" s="52"/>
      <x:c r="E53" s="52"/>
      <x:c r="F53" s="66"/>
      <x:c r="G53" s="53"/>
      <x:c r="H53" s="53"/>
      <x:c r="I53" s="53"/>
      <x:c r="J53" s="60" t="str">
        <x:f>IF(COUNTA(C53:E53,G53:I53)=0,"",C53*$Q$2+(D53+E53)*$Q$3+G53*$Q$2+(H53+I53)*$Q$3)</x:f>
      </x:c>
      <x:c r="K53" s="61"/>
      <x:c r="L53" s="62" t="str">
        <x:f>IF(J53="","",MAX(J53-IF(K53="",0,K53),0))</x:f>
      </x:c>
      <x:c r="M53" s="59" t="str">
        <x:f>IF(J53="","",IF(K53&gt;=J53,"จ่ายแล้ว",IF(K53&gt;0,"จ่ายบางส่วน","ยังไม่ได้จ่าย")))</x:f>
      </x:c>
      <x:c r="N53" s="22"/>
    </x:row>
    <x:row r="54" ht="21" customHeight="1">
      <x:c r="A54" s="22" t="str">
        <x:v>E9-2</x:v>
      </x:c>
      <x:c r="B54" s="22" t="str">
        <x:v>ภาคตะวันออกเฉียงเหนือ</x:v>
      </x:c>
      <x:c r="C54" s="52"/>
      <x:c r="D54" s="52"/>
      <x:c r="E54" s="52"/>
      <x:c r="F54" s="66"/>
      <x:c r="G54" s="53"/>
      <x:c r="H54" s="53"/>
      <x:c r="I54" s="53"/>
      <x:c r="J54" s="60" t="str">
        <x:f>IF(COUNTA(C54:E54,G54:I54)=0,"",C54*$Q$2+(D54+E54)*$Q$3+G54*$Q$2+(H54+I54)*$Q$3)</x:f>
      </x:c>
      <x:c r="K54" s="61"/>
      <x:c r="L54" s="62" t="str">
        <x:f>IF(J54="","",MAX(J54-IF(K54="",0,K54),0))</x:f>
      </x:c>
      <x:c r="M54" s="59" t="str">
        <x:f>IF(J54="","",IF(K54&gt;=J54,"จ่ายแล้ว",IF(K54&gt;0,"จ่ายบางส่วน","ยังไม่ได้จ่าย")))</x:f>
      </x:c>
      <x:c r="N54" s="22"/>
    </x:row>
    <x:row r="55" ht="21" customHeight="1">
      <x:c r="A55" s="22" t="str">
        <x:v>E9-3</x:v>
      </x:c>
      <x:c r="B55" s="22" t="str">
        <x:v>ภาคตะวันออกเฉียงเหนือ</x:v>
      </x:c>
      <x:c r="C55" s="52"/>
      <x:c r="D55" s="52"/>
      <x:c r="E55" s="52"/>
      <x:c r="F55" s="66"/>
      <x:c r="G55" s="53"/>
      <x:c r="H55" s="53"/>
      <x:c r="I55" s="53"/>
      <x:c r="J55" s="60" t="str">
        <x:f>IF(COUNTA(C55:E55,G55:I55)=0,"",C55*$Q$2+(D55+E55)*$Q$3+G55*$Q$2+(H55+I55)*$Q$3)</x:f>
      </x:c>
      <x:c r="K55" s="61"/>
      <x:c r="L55" s="62" t="str">
        <x:f>IF(J55="","",MAX(J55-IF(K55="",0,K55),0))</x:f>
      </x:c>
      <x:c r="M55" s="59" t="str">
        <x:f>IF(J55="","",IF(K55&gt;=J55,"จ่ายแล้ว",IF(K55&gt;0,"จ่ายบางส่วน","ยังไม่ได้จ่าย")))</x:f>
      </x:c>
      <x:c r="N55" s="22"/>
    </x:row>
    <x:row r="56" ht="21" customHeight="1">
      <x:c r="A56" s="22" t="str">
        <x:v>E9-4</x:v>
      </x:c>
      <x:c r="B56" s="22" t="str">
        <x:v>ภาคตะวันออกเฉียงเหนือ</x:v>
      </x:c>
      <x:c r="C56" s="52"/>
      <x:c r="D56" s="52"/>
      <x:c r="E56" s="52"/>
      <x:c r="F56" s="66"/>
      <x:c r="G56" s="53"/>
      <x:c r="H56" s="53"/>
      <x:c r="I56" s="53"/>
      <x:c r="J56" s="60" t="str">
        <x:f>IF(COUNTA(C56:E56,G56:I56)=0,"",C56*$Q$2+(D56+E56)*$Q$3+G56*$Q$2+(H56+I56)*$Q$3)</x:f>
      </x:c>
      <x:c r="K56" s="61"/>
      <x:c r="L56" s="62" t="str">
        <x:f>IF(J56="","",MAX(J56-IF(K56="",0,K56),0))</x:f>
      </x:c>
      <x:c r="M56" s="59" t="str">
        <x:f>IF(J56="","",IF(K56&gt;=J56,"จ่ายแล้ว",IF(K56&gt;0,"จ่ายบางส่วน","ยังไม่ได้จ่าย")))</x:f>
      </x:c>
      <x:c r="N56" s="22"/>
    </x:row>
    <x:row r="57" ht="21" customHeight="1">
      <x:c r="A57" s="22" t="str">
        <x:v>E9-5</x:v>
      </x:c>
      <x:c r="B57" s="22" t="str">
        <x:v>ภาคตะวันออกเฉียงเหนือ</x:v>
      </x:c>
      <x:c r="C57" s="52"/>
      <x:c r="D57" s="52"/>
      <x:c r="E57" s="52"/>
      <x:c r="F57" s="66"/>
      <x:c r="G57" s="53"/>
      <x:c r="H57" s="53"/>
      <x:c r="I57" s="53"/>
      <x:c r="J57" s="60" t="str">
        <x:f>IF(COUNTA(C57:E57,G57:I57)=0,"",C57*$Q$2+(D57+E57)*$Q$3+G57*$Q$2+(H57+I57)*$Q$3)</x:f>
      </x:c>
      <x:c r="K57" s="61"/>
      <x:c r="L57" s="62" t="str">
        <x:f>IF(J57="","",MAX(J57-IF(K57="",0,K57),0))</x:f>
      </x:c>
      <x:c r="M57" s="59" t="str">
        <x:f>IF(J57="","",IF(K57&gt;=J57,"จ่ายแล้ว",IF(K57&gt;0,"จ่ายบางส่วน","ยังไม่ได้จ่าย")))</x:f>
      </x:c>
      <x:c r="N57" s="22"/>
    </x:row>
    <x:row r="58" ht="21" customHeight="1">
      <x:c r="A58" s="22" t="str">
        <x:v>E9-6</x:v>
      </x:c>
      <x:c r="B58" s="22" t="str">
        <x:v>ภาคตะวันออกเฉียงเหนือ</x:v>
      </x:c>
      <x:c r="C58" s="52"/>
      <x:c r="D58" s="52"/>
      <x:c r="E58" s="52"/>
      <x:c r="F58" s="66"/>
      <x:c r="G58" s="53"/>
      <x:c r="H58" s="53"/>
      <x:c r="I58" s="53"/>
      <x:c r="J58" s="60" t="str">
        <x:f>IF(COUNTA(C58:E58,G58:I58)=0,"",C58*$Q$2+(D58+E58)*$Q$3+G58*$Q$2+(H58+I58)*$Q$3)</x:f>
      </x:c>
      <x:c r="K58" s="61"/>
      <x:c r="L58" s="62" t="str">
        <x:f>IF(J58="","",MAX(J58-IF(K58="",0,K58),0))</x:f>
      </x:c>
      <x:c r="M58" s="59" t="str">
        <x:f>IF(J58="","",IF(K58&gt;=J58,"จ่ายแล้ว",IF(K58&gt;0,"จ่ายบางส่วน","ยังไม่ได้จ่าย")))</x:f>
      </x:c>
      <x:c r="N58" s="22"/>
    </x:row>
    <x:row r="59" ht="21" customHeight="1">
      <x:c r="A59" s="22" t="str">
        <x:v>E10-1</x:v>
      </x:c>
      <x:c r="B59" s="22" t="str">
        <x:v>ภาคตะวันออกเฉียงเหนือ</x:v>
      </x:c>
      <x:c r="C59" s="52"/>
      <x:c r="D59" s="52"/>
      <x:c r="E59" s="52"/>
      <x:c r="F59" s="66"/>
      <x:c r="G59" s="53"/>
      <x:c r="H59" s="53"/>
      <x:c r="I59" s="53"/>
      <x:c r="J59" s="60" t="str">
        <x:f>IF(COUNTA(C59:E59,G59:I59)=0,"",C59*$Q$2+(D59+E59)*$Q$3+G59*$Q$2+(H59+I59)*$Q$3)</x:f>
      </x:c>
      <x:c r="K59" s="61"/>
      <x:c r="L59" s="62" t="str">
        <x:f>IF(J59="","",MAX(J59-IF(K59="",0,K59),0))</x:f>
      </x:c>
      <x:c r="M59" s="59" t="str">
        <x:f>IF(J59="","",IF(K59&gt;=J59,"จ่ายแล้ว",IF(K59&gt;0,"จ่ายบางส่วน","ยังไม่ได้จ่าย")))</x:f>
      </x:c>
      <x:c r="N59" s="22"/>
    </x:row>
    <x:row r="60" ht="21" customHeight="1">
      <x:c r="A60" s="22" t="str">
        <x:v>E10-2</x:v>
      </x:c>
      <x:c r="B60" s="22" t="str">
        <x:v>ภาคตะวันออกเฉียงเหนือ</x:v>
      </x:c>
      <x:c r="C60" s="52"/>
      <x:c r="D60" s="52"/>
      <x:c r="E60" s="52"/>
      <x:c r="F60" s="66"/>
      <x:c r="G60" s="53"/>
      <x:c r="H60" s="53"/>
      <x:c r="I60" s="53"/>
      <x:c r="J60" s="60" t="str">
        <x:f>IF(COUNTA(C60:E60,G60:I60)=0,"",C60*$Q$2+(D60+E60)*$Q$3+G60*$Q$2+(H60+I60)*$Q$3)</x:f>
      </x:c>
      <x:c r="K60" s="61"/>
      <x:c r="L60" s="62" t="str">
        <x:f>IF(J60="","",MAX(J60-IF(K60="",0,K60),0))</x:f>
      </x:c>
      <x:c r="M60" s="59" t="str">
        <x:f>IF(J60="","",IF(K60&gt;=J60,"จ่ายแล้ว",IF(K60&gt;0,"จ่ายบางส่วน","ยังไม่ได้จ่าย")))</x:f>
      </x:c>
      <x:c r="N60" s="22"/>
    </x:row>
    <x:row r="61" ht="21" customHeight="1">
      <x:c r="A61" s="22" t="str">
        <x:v>E10-3</x:v>
      </x:c>
      <x:c r="B61" s="22" t="str">
        <x:v>ภาคตะวันออกเฉียงเหนือ</x:v>
      </x:c>
      <x:c r="C61" s="52"/>
      <x:c r="D61" s="52"/>
      <x:c r="E61" s="52"/>
      <x:c r="F61" s="66"/>
      <x:c r="G61" s="53"/>
      <x:c r="H61" s="53"/>
      <x:c r="I61" s="53"/>
      <x:c r="J61" s="60" t="str">
        <x:f>IF(COUNTA(C61:E61,G61:I61)=0,"",C61*$Q$2+(D61+E61)*$Q$3+G61*$Q$2+(H61+I61)*$Q$3)</x:f>
      </x:c>
      <x:c r="K61" s="61"/>
      <x:c r="L61" s="62" t="str">
        <x:f>IF(J61="","",MAX(J61-IF(K61="",0,K61),0))</x:f>
      </x:c>
      <x:c r="M61" s="59" t="str">
        <x:f>IF(J61="","",IF(K61&gt;=J61,"จ่ายแล้ว",IF(K61&gt;0,"จ่ายบางส่วน","ยังไม่ได้จ่าย")))</x:f>
      </x:c>
      <x:c r="N61" s="22"/>
    </x:row>
    <x:row r="62" ht="21" customHeight="1">
      <x:c r="A62" s="22" t="str">
        <x:v>E10-4</x:v>
      </x:c>
      <x:c r="B62" s="22" t="str">
        <x:v>ภาคตะวันออกเฉียงเหนือ</x:v>
      </x:c>
      <x:c r="C62" s="52"/>
      <x:c r="D62" s="52"/>
      <x:c r="E62" s="52"/>
      <x:c r="F62" s="66"/>
      <x:c r="G62" s="53"/>
      <x:c r="H62" s="53"/>
      <x:c r="I62" s="53"/>
      <x:c r="J62" s="60" t="str">
        <x:f>IF(COUNTA(C62:E62,G62:I62)=0,"",C62*$Q$2+(D62+E62)*$Q$3+G62*$Q$2+(H62+I62)*$Q$3)</x:f>
      </x:c>
      <x:c r="K62" s="61"/>
      <x:c r="L62" s="62" t="str">
        <x:f>IF(J62="","",MAX(J62-IF(K62="",0,K62),0))</x:f>
      </x:c>
      <x:c r="M62" s="59" t="str">
        <x:f>IF(J62="","",IF(K62&gt;=J62,"จ่ายแล้ว",IF(K62&gt;0,"จ่ายบางส่วน","ยังไม่ได้จ่าย")))</x:f>
      </x:c>
      <x:c r="N62" s="22"/>
    </x:row>
    <x:row r="63" ht="21" customHeight="1">
      <x:c r="A63" s="22" t="str">
        <x:v>E10-5</x:v>
      </x:c>
      <x:c r="B63" s="22" t="str">
        <x:v>ภาคตะวันออกเฉียงเหนือ</x:v>
      </x:c>
      <x:c r="C63" s="52"/>
      <x:c r="D63" s="52"/>
      <x:c r="E63" s="52"/>
      <x:c r="F63" s="66"/>
      <x:c r="G63" s="53"/>
      <x:c r="H63" s="53"/>
      <x:c r="I63" s="53"/>
      <x:c r="J63" s="60" t="str">
        <x:f>IF(COUNTA(C63:E63,G63:I63)=0,"",C63*$Q$2+(D63+E63)*$Q$3+G63*$Q$2+(H63+I63)*$Q$3)</x:f>
      </x:c>
      <x:c r="K63" s="61"/>
      <x:c r="L63" s="62" t="str">
        <x:f>IF(J63="","",MAX(J63-IF(K63="",0,K63),0))</x:f>
      </x:c>
      <x:c r="M63" s="59" t="str">
        <x:f>IF(J63="","",IF(K63&gt;=J63,"จ่ายแล้ว",IF(K63&gt;0,"จ่ายบางส่วน","ยังไม่ได้จ่าย")))</x:f>
      </x:c>
      <x:c r="N63" s="22"/>
    </x:row>
    <x:row r="64" ht="21" customHeight="1">
      <x:c r="A64" s="22" t="str">
        <x:v>E10-6</x:v>
      </x:c>
      <x:c r="B64" s="22" t="str">
        <x:v>ภาคตะวันออกเฉียงเหนือ</x:v>
      </x:c>
      <x:c r="C64" s="52"/>
      <x:c r="D64" s="52"/>
      <x:c r="E64" s="52"/>
      <x:c r="F64" s="66"/>
      <x:c r="G64" s="53"/>
      <x:c r="H64" s="53"/>
      <x:c r="I64" s="53"/>
      <x:c r="J64" s="60" t="str">
        <x:f>IF(COUNTA(C64:E64,G64:I64)=0,"",C64*$Q$2+(D64+E64)*$Q$3+G64*$Q$2+(H64+I64)*$Q$3)</x:f>
      </x:c>
      <x:c r="K64" s="61"/>
      <x:c r="L64" s="62" t="str">
        <x:f>IF(J64="","",MAX(J64-IF(K64="",0,K64),0))</x:f>
      </x:c>
      <x:c r="M64" s="59" t="str">
        <x:f>IF(J64="","",IF(K64&gt;=J64,"จ่ายแล้ว",IF(K64&gt;0,"จ่ายบางส่วน","ยังไม่ได้จ่าย")))</x:f>
      </x:c>
      <x:c r="N64" s="22"/>
    </x:row>
    <x:row r="65" ht="21" customHeight="1">
      <x:c r="A65" s="22" t="str">
        <x:v>E11-1</x:v>
      </x:c>
      <x:c r="B65" s="22" t="str">
        <x:v>ภาคตะวันออกเฉียงเหนือ</x:v>
      </x:c>
      <x:c r="C65" s="52"/>
      <x:c r="D65" s="52"/>
      <x:c r="E65" s="52"/>
      <x:c r="F65" s="66"/>
      <x:c r="G65" s="53"/>
      <x:c r="H65" s="53"/>
      <x:c r="I65" s="53"/>
      <x:c r="J65" s="60" t="str">
        <x:f>IF(COUNTA(C65:E65,G65:I65)=0,"",C65*$Q$2+(D65+E65)*$Q$3+G65*$Q$2+(H65+I65)*$Q$3)</x:f>
      </x:c>
      <x:c r="K65" s="61"/>
      <x:c r="L65" s="62" t="str">
        <x:f>IF(J65="","",MAX(J65-IF(K65="",0,K65),0))</x:f>
      </x:c>
      <x:c r="M65" s="59" t="str">
        <x:f>IF(J65="","",IF(K65&gt;=J65,"จ่ายแล้ว",IF(K65&gt;0,"จ่ายบางส่วน","ยังไม่ได้จ่าย")))</x:f>
      </x:c>
      <x:c r="N65" s="22"/>
    </x:row>
    <x:row r="66" ht="21" customHeight="1">
      <x:c r="A66" s="22" t="str">
        <x:v>E11-2</x:v>
      </x:c>
      <x:c r="B66" s="22" t="str">
        <x:v>ภาคตะวันออกเฉียงเหนือ</x:v>
      </x:c>
      <x:c r="C66" s="52"/>
      <x:c r="D66" s="52"/>
      <x:c r="E66" s="52"/>
      <x:c r="F66" s="66"/>
      <x:c r="G66" s="53"/>
      <x:c r="H66" s="53"/>
      <x:c r="I66" s="53"/>
      <x:c r="J66" s="60" t="str">
        <x:f>IF(COUNTA(C66:E66,G66:I66)=0,"",C66*$Q$2+(D66+E66)*$Q$3+G66*$Q$2+(H66+I66)*$Q$3)</x:f>
      </x:c>
      <x:c r="K66" s="61"/>
      <x:c r="L66" s="62" t="str">
        <x:f>IF(J66="","",MAX(J66-IF(K66="",0,K66),0))</x:f>
      </x:c>
      <x:c r="M66" s="59" t="str">
        <x:f>IF(J66="","",IF(K66&gt;=J66,"จ่ายแล้ว",IF(K66&gt;0,"จ่ายบางส่วน","ยังไม่ได้จ่าย")))</x:f>
      </x:c>
      <x:c r="N66" s="22"/>
    </x:row>
    <x:row r="67" ht="21" customHeight="1">
      <x:c r="A67" s="22" t="str">
        <x:v>E11-3</x:v>
      </x:c>
      <x:c r="B67" s="22" t="str">
        <x:v>ภาคตะวันออกเฉียงเหนือ</x:v>
      </x:c>
      <x:c r="C67" s="52"/>
      <x:c r="D67" s="52"/>
      <x:c r="E67" s="52"/>
      <x:c r="F67" s="66"/>
      <x:c r="G67" s="53"/>
      <x:c r="H67" s="53"/>
      <x:c r="I67" s="53"/>
      <x:c r="J67" s="60" t="str">
        <x:f>IF(COUNTA(C67:E67,G67:I67)=0,"",C67*$Q$2+(D67+E67)*$Q$3+G67*$Q$2+(H67+I67)*$Q$3)</x:f>
      </x:c>
      <x:c r="K67" s="61"/>
      <x:c r="L67" s="62" t="str">
        <x:f>IF(J67="","",MAX(J67-IF(K67="",0,K67),0))</x:f>
      </x:c>
      <x:c r="M67" s="59" t="str">
        <x:f>IF(J67="","",IF(K67&gt;=J67,"จ่ายแล้ว",IF(K67&gt;0,"จ่ายบางส่วน","ยังไม่ได้จ่าย")))</x:f>
      </x:c>
      <x:c r="N67" s="22"/>
    </x:row>
    <x:row r="68" ht="21" customHeight="1">
      <x:c r="A68" s="22" t="str">
        <x:v>E11-4</x:v>
      </x:c>
      <x:c r="B68" s="22" t="str">
        <x:v>ภาคตะวันออกเฉียงเหนือ</x:v>
      </x:c>
      <x:c r="C68" s="52"/>
      <x:c r="D68" s="52"/>
      <x:c r="E68" s="52"/>
      <x:c r="F68" s="66"/>
      <x:c r="G68" s="53"/>
      <x:c r="H68" s="53"/>
      <x:c r="I68" s="53"/>
      <x:c r="J68" s="60" t="str">
        <x:f>IF(COUNTA(C68:E68,G68:I68)=0,"",C68*$Q$2+(D68+E68)*$Q$3+G68*$Q$2+(H68+I68)*$Q$3)</x:f>
      </x:c>
      <x:c r="K68" s="61"/>
      <x:c r="L68" s="62" t="str">
        <x:f>IF(J68="","",MAX(J68-IF(K68="",0,K68),0))</x:f>
      </x:c>
      <x:c r="M68" s="59" t="str">
        <x:f>IF(J68="","",IF(K68&gt;=J68,"จ่ายแล้ว",IF(K68&gt;0,"จ่ายบางส่วน","ยังไม่ได้จ่าย")))</x:f>
      </x:c>
      <x:c r="N68" s="22"/>
    </x:row>
    <x:row r="69" ht="21" customHeight="1">
      <x:c r="A69" s="22" t="str">
        <x:v>E11-5</x:v>
      </x:c>
      <x:c r="B69" s="22" t="str">
        <x:v>ภาคตะวันออกเฉียงเหนือ</x:v>
      </x:c>
      <x:c r="C69" s="52"/>
      <x:c r="D69" s="52"/>
      <x:c r="E69" s="52"/>
      <x:c r="F69" s="66"/>
      <x:c r="G69" s="53"/>
      <x:c r="H69" s="53"/>
      <x:c r="I69" s="53"/>
      <x:c r="J69" s="60" t="str">
        <x:f>IF(COUNTA(C69:E69,G69:I69)=0,"",C69*$Q$2+(D69+E69)*$Q$3+G69*$Q$2+(H69+I69)*$Q$3)</x:f>
      </x:c>
      <x:c r="K69" s="61"/>
      <x:c r="L69" s="62" t="str">
        <x:f>IF(J69="","",MAX(J69-IF(K69="",0,K69),0))</x:f>
      </x:c>
      <x:c r="M69" s="59" t="str">
        <x:f>IF(J69="","",IF(K69&gt;=J69,"จ่ายแล้ว",IF(K69&gt;0,"จ่ายบางส่วน","ยังไม่ได้จ่าย")))</x:f>
      </x:c>
      <x:c r="N69" s="22"/>
    </x:row>
    <x:row r="70" ht="21" customHeight="1">
      <x:c r="A70" s="22" t="str">
        <x:v>E11-6</x:v>
      </x:c>
      <x:c r="B70" s="22" t="str">
        <x:v>ภาคตะวันออกเฉียงเหนือ</x:v>
      </x:c>
      <x:c r="C70" s="52"/>
      <x:c r="D70" s="52"/>
      <x:c r="E70" s="52"/>
      <x:c r="F70" s="66"/>
      <x:c r="G70" s="53"/>
      <x:c r="H70" s="53"/>
      <x:c r="I70" s="53"/>
      <x:c r="J70" s="60" t="str">
        <x:f>IF(COUNTA(C70:E70,G70:I70)=0,"",C70*$Q$2+(D70+E70)*$Q$3+G70*$Q$2+(H70+I70)*$Q$3)</x:f>
      </x:c>
      <x:c r="K70" s="61"/>
      <x:c r="L70" s="62" t="str">
        <x:f>IF(J70="","",MAX(J70-IF(K70="",0,K70),0))</x:f>
      </x:c>
      <x:c r="M70" s="59" t="str">
        <x:f>IF(J70="","",IF(K70&gt;=J70,"จ่ายแล้ว",IF(K70&gt;0,"จ่ายบางส่วน","ยังไม่ได้จ่าย")))</x:f>
      </x:c>
      <x:c r="N70" s="22"/>
    </x:row>
    <x:row r="71" ht="21" customHeight="1">
      <x:c r="A71" s="22" t="str">
        <x:v>E12-1</x:v>
      </x:c>
      <x:c r="B71" s="22" t="str">
        <x:v>ภาคตะวันออกเฉียงเหนือ</x:v>
      </x:c>
      <x:c r="C71" s="52"/>
      <x:c r="D71" s="52"/>
      <x:c r="E71" s="52"/>
      <x:c r="F71" s="66"/>
      <x:c r="G71" s="53"/>
      <x:c r="H71" s="53"/>
      <x:c r="I71" s="53"/>
      <x:c r="J71" s="60" t="str">
        <x:f>IF(COUNTA(C71:E71,G71:I71)=0,"",C71*$Q$2+(D71+E71)*$Q$3+G71*$Q$2+(H71+I71)*$Q$3)</x:f>
      </x:c>
      <x:c r="K71" s="61"/>
      <x:c r="L71" s="62" t="str">
        <x:f>IF(J71="","",MAX(J71-IF(K71="",0,K71),0))</x:f>
      </x:c>
      <x:c r="M71" s="59" t="str">
        <x:f>IF(J71="","",IF(K71&gt;=J71,"จ่ายแล้ว",IF(K71&gt;0,"จ่ายบางส่วน","ยังไม่ได้จ่าย")))</x:f>
      </x:c>
      <x:c r="N71" s="22"/>
    </x:row>
    <x:row r="72" ht="21" customHeight="1">
      <x:c r="A72" s="22" t="str">
        <x:v>E12-2</x:v>
      </x:c>
      <x:c r="B72" s="22" t="str">
        <x:v>ภาคตะวันออกเฉียงเหนือ</x:v>
      </x:c>
      <x:c r="C72" s="52"/>
      <x:c r="D72" s="52"/>
      <x:c r="E72" s="52"/>
      <x:c r="F72" s="66"/>
      <x:c r="G72" s="53"/>
      <x:c r="H72" s="53"/>
      <x:c r="I72" s="53"/>
      <x:c r="J72" s="60" t="str">
        <x:f>IF(COUNTA(C72:E72,G72:I72)=0,"",C72*$Q$2+(D72+E72)*$Q$3+G72*$Q$2+(H72+I72)*$Q$3)</x:f>
      </x:c>
      <x:c r="K72" s="61"/>
      <x:c r="L72" s="62" t="str">
        <x:f>IF(J72="","",MAX(J72-IF(K72="",0,K72),0))</x:f>
      </x:c>
      <x:c r="M72" s="59" t="str">
        <x:f>IF(J72="","",IF(K72&gt;=J72,"จ่ายแล้ว",IF(K72&gt;0,"จ่ายบางส่วน","ยังไม่ได้จ่าย")))</x:f>
      </x:c>
      <x:c r="N72" s="22"/>
    </x:row>
    <x:row r="73" ht="21" customHeight="1">
      <x:c r="A73" s="22" t="str">
        <x:v>E12-3</x:v>
      </x:c>
      <x:c r="B73" s="22" t="str">
        <x:v>ภาคตะวันออกเฉียงเหนือ</x:v>
      </x:c>
      <x:c r="C73" s="52"/>
      <x:c r="D73" s="52"/>
      <x:c r="E73" s="52"/>
      <x:c r="F73" s="66"/>
      <x:c r="G73" s="53"/>
      <x:c r="H73" s="53"/>
      <x:c r="I73" s="53"/>
      <x:c r="J73" s="60" t="str">
        <x:f>IF(COUNTA(C73:E73,G73:I73)=0,"",C73*$Q$2+(D73+E73)*$Q$3+G73*$Q$2+(H73+I73)*$Q$3)</x:f>
      </x:c>
      <x:c r="K73" s="61"/>
      <x:c r="L73" s="62" t="str">
        <x:f>IF(J73="","",MAX(J73-IF(K73="",0,K73),0))</x:f>
      </x:c>
      <x:c r="M73" s="59" t="str">
        <x:f>IF(J73="","",IF(K73&gt;=J73,"จ่ายแล้ว",IF(K73&gt;0,"จ่ายบางส่วน","ยังไม่ได้จ่าย")))</x:f>
      </x:c>
      <x:c r="N73" s="22"/>
    </x:row>
    <x:row r="74" ht="21" customHeight="1">
      <x:c r="A74" s="22" t="str">
        <x:v>E12-4</x:v>
      </x:c>
      <x:c r="B74" s="22" t="str">
        <x:v>ภาคตะวันออกเฉียงเหนือ</x:v>
      </x:c>
      <x:c r="C74" s="52"/>
      <x:c r="D74" s="52"/>
      <x:c r="E74" s="52"/>
      <x:c r="F74" s="66"/>
      <x:c r="G74" s="53"/>
      <x:c r="H74" s="53"/>
      <x:c r="I74" s="53"/>
      <x:c r="J74" s="60" t="str">
        <x:f>IF(COUNTA(C74:E74,G74:I74)=0,"",C74*$Q$2+(D74+E74)*$Q$3+G74*$Q$2+(H74+I74)*$Q$3)</x:f>
      </x:c>
      <x:c r="K74" s="61"/>
      <x:c r="L74" s="62" t="str">
        <x:f>IF(J74="","",MAX(J74-IF(K74="",0,K74),0))</x:f>
      </x:c>
      <x:c r="M74" s="59" t="str">
        <x:f>IF(J74="","",IF(K74&gt;=J74,"จ่ายแล้ว",IF(K74&gt;0,"จ่ายบางส่วน","ยังไม่ได้จ่าย")))</x:f>
      </x:c>
      <x:c r="N74" s="22"/>
    </x:row>
    <x:row r="75" ht="21" customHeight="1">
      <x:c r="A75" s="22" t="str">
        <x:v>E12-5</x:v>
      </x:c>
      <x:c r="B75" s="22" t="str">
        <x:v>ภาคตะวันออกเฉียงเหนือ</x:v>
      </x:c>
      <x:c r="C75" s="52"/>
      <x:c r="D75" s="52"/>
      <x:c r="E75" s="52"/>
      <x:c r="F75" s="66"/>
      <x:c r="G75" s="53"/>
      <x:c r="H75" s="53"/>
      <x:c r="I75" s="53"/>
      <x:c r="J75" s="60" t="str">
        <x:f>IF(COUNTA(C75:E75,G75:I75)=0,"",C75*$Q$2+(D75+E75)*$Q$3+G75*$Q$2+(H75+I75)*$Q$3)</x:f>
      </x:c>
      <x:c r="K75" s="61"/>
      <x:c r="L75" s="62" t="str">
        <x:f>IF(J75="","",MAX(J75-IF(K75="",0,K75),0))</x:f>
      </x:c>
      <x:c r="M75" s="59" t="str">
        <x:f>IF(J75="","",IF(K75&gt;=J75,"จ่ายแล้ว",IF(K75&gt;0,"จ่ายบางส่วน","ยังไม่ได้จ่าย")))</x:f>
      </x:c>
      <x:c r="N75" s="22"/>
    </x:row>
    <x:row r="76" ht="21" customHeight="1">
      <x:c r="A76" s="22" t="str">
        <x:v>E12-6</x:v>
      </x:c>
      <x:c r="B76" s="22" t="str">
        <x:v>ภาคตะวันออกเฉียงเหนือ</x:v>
      </x:c>
      <x:c r="C76" s="52"/>
      <x:c r="D76" s="52"/>
      <x:c r="E76" s="52"/>
      <x:c r="F76" s="66"/>
      <x:c r="G76" s="53"/>
      <x:c r="H76" s="53"/>
      <x:c r="I76" s="53"/>
      <x:c r="J76" s="60" t="str">
        <x:f>IF(COUNTA(C76:E76,G76:I76)=0,"",C76*$Q$2+(D76+E76)*$Q$3+G76*$Q$2+(H76+I76)*$Q$3)</x:f>
      </x:c>
      <x:c r="K76" s="61"/>
      <x:c r="L76" s="62" t="str">
        <x:f>IF(J76="","",MAX(J76-IF(K76="",0,K76),0))</x:f>
      </x:c>
      <x:c r="M76" s="59" t="str">
        <x:f>IF(J76="","",IF(K76&gt;=J76,"จ่ายแล้ว",IF(K76&gt;0,"จ่ายบางส่วน","ยังไม่ได้จ่าย")))</x:f>
      </x:c>
      <x:c r="N76" s="22"/>
    </x:row>
    <x:row r="77" ht="21" customHeight="1">
      <x:c r="A77" s="22" t="str">
        <x:v>E13-1</x:v>
      </x:c>
      <x:c r="B77" s="22" t="str">
        <x:v>ภาคตะวันออกเฉียงเหนือ</x:v>
      </x:c>
      <x:c r="C77" s="52" t="n">
        <x:v>1</x:v>
      </x:c>
      <x:c r="D77" s="52"/>
      <x:c r="E77" s="52" t="n">
        <x:v>1</x:v>
      </x:c>
      <x:c r="F77" s="66"/>
      <x:c r="G77" s="53"/>
      <x:c r="H77" s="53"/>
      <x:c r="I77" s="53"/>
      <x:c r="J77" s="60" t="n">
        <x:f>IF(COUNTA(C77:E77,G77:I77)=0,"",C77*$Q$2+(D77+E77)*$Q$3+G77*$Q$2+(H77+I77)*$Q$3)</x:f>
        <x:v>160</x:v>
      </x:c>
      <x:c r="K77" s="61" t="n">
        <x:v>160</x:v>
      </x:c>
      <x:c r="L77" s="62" t="n">
        <x:f>IF(J77="","",MAX(J77-IF(K77="",0,K77),0))</x:f>
        <x:v>0</x:v>
      </x:c>
      <x:c r="M77" s="59" t="str">
        <x:f>IF(J77="","",IF(K77&gt;=J77,"จ่ายแล้ว",IF(K77&gt;0,"จ่ายบางส่วน","ยังไม่ได้จ่าย")))</x:f>
        <x:v>จ่ายแล้ว</x:v>
      </x:c>
      <x:c r="N77" s="22" t="str">
        <x:v>จ่ายแล้ว</x:v>
      </x:c>
    </x:row>
    <x:row r="78" ht="21" customHeight="1">
      <x:c r="A78" s="22" t="str">
        <x:v>E13-2</x:v>
      </x:c>
      <x:c r="B78" s="22" t="str">
        <x:v>ภาคตะวันออกเฉียงเหนือ</x:v>
      </x:c>
      <x:c r="C78" s="52"/>
      <x:c r="D78" s="52"/>
      <x:c r="E78" s="52"/>
      <x:c r="F78" s="66"/>
      <x:c r="G78" s="53"/>
      <x:c r="H78" s="53"/>
      <x:c r="I78" s="53"/>
      <x:c r="J78" s="60" t="str">
        <x:f>IF(COUNTA(C78:E78,G78:I78)=0,"",C78*$Q$2+(D78+E78)*$Q$3+G78*$Q$2+(H78+I78)*$Q$3)</x:f>
      </x:c>
      <x:c r="K78" s="61"/>
      <x:c r="L78" s="62" t="str">
        <x:f>IF(J78="","",MAX(J78-IF(K78="",0,K78),0))</x:f>
      </x:c>
      <x:c r="M78" s="59" t="str">
        <x:f>IF(J78="","",IF(K78&gt;=J78,"จ่ายแล้ว",IF(K78&gt;0,"จ่ายบางส่วน","ยังไม่ได้จ่าย")))</x:f>
      </x:c>
      <x:c r="N78" s="22"/>
    </x:row>
    <x:row r="79" ht="21" customHeight="1">
      <x:c r="A79" s="22" t="str">
        <x:v>E13-3</x:v>
      </x:c>
      <x:c r="B79" s="22" t="str">
        <x:v>ภาคตะวันออกเฉียงเหนือ</x:v>
      </x:c>
      <x:c r="C79" s="52" t="n">
        <x:v>1</x:v>
      </x:c>
      <x:c r="D79" s="52" t="n">
        <x:v>3</x:v>
      </x:c>
      <x:c r="E79" s="52"/>
      <x:c r="F79" s="66"/>
      <x:c r="G79" s="53"/>
      <x:c r="H79" s="53"/>
      <x:c r="I79" s="53"/>
      <x:c r="J79" s="60" t="n">
        <x:f>IF(COUNTA(C79:E79,G79:I79)=0,"",C79*$Q$2+(D79+E79)*$Q$3+G79*$Q$2+(H79+I79)*$Q$3)</x:f>
        <x:v>280</x:v>
      </x:c>
      <x:c r="K79" s="61" t="n">
        <x:v>0</x:v>
      </x:c>
      <x:c r="L79" s="62" t="n">
        <x:f>IF(J79="","",MAX(J79-IF(K79="",0,K79),0))</x:f>
        <x:v>280</x:v>
      </x:c>
      <x:c r="M79" s="59" t="str">
        <x:f>IF(J79="","",IF(K79&gt;=J79,"จ่ายแล้ว",IF(K79&gt;0,"จ่ายบางส่วน","ยังไม่ได้จ่าย")))</x:f>
        <x:v>ยังไม่ได้จ่าย</x:v>
      </x:c>
      <x:c r="N79" s="22" t="str">
        <x:v>โอน</x:v>
      </x:c>
    </x:row>
    <x:row r="80" ht="21" customHeight="1">
      <x:c r="A80" s="22" t="str">
        <x:v>E13-4</x:v>
      </x:c>
      <x:c r="B80" s="22" t="str">
        <x:v>ภาคตะวันออกเฉียงเหนือ</x:v>
      </x:c>
      <x:c r="C80" s="52"/>
      <x:c r="D80" s="52"/>
      <x:c r="E80" s="52"/>
      <x:c r="F80" s="66"/>
      <x:c r="G80" s="53"/>
      <x:c r="H80" s="53"/>
      <x:c r="I80" s="53"/>
      <x:c r="J80" s="60" t="str">
        <x:f>IF(COUNTA(C80:E80,G80:I80)=0,"",C80*$Q$2+(D80+E80)*$Q$3+G80*$Q$2+(H80+I80)*$Q$3)</x:f>
      </x:c>
      <x:c r="K80" s="61"/>
      <x:c r="L80" s="62" t="str">
        <x:f>IF(J80="","",MAX(J80-IF(K80="",0,K80),0))</x:f>
      </x:c>
      <x:c r="M80" s="59" t="str">
        <x:f>IF(J80="","",IF(K80&gt;=J80,"จ่ายแล้ว",IF(K80&gt;0,"จ่ายบางส่วน","ยังไม่ได้จ่าย")))</x:f>
      </x:c>
      <x:c r="N80" s="22"/>
    </x:row>
    <x:row r="81" ht="21" customHeight="1">
      <x:c r="A81" s="22" t="str">
        <x:v>E13-5</x:v>
      </x:c>
      <x:c r="B81" s="22" t="str">
        <x:v>ภาคตะวันออกเฉียงเหนือ</x:v>
      </x:c>
      <x:c r="C81" s="52"/>
      <x:c r="D81" s="52"/>
      <x:c r="E81" s="52"/>
      <x:c r="F81" s="66"/>
      <x:c r="G81" s="53"/>
      <x:c r="H81" s="53"/>
      <x:c r="I81" s="53"/>
      <x:c r="J81" s="60" t="str">
        <x:f>IF(COUNTA(C81:E81,G81:I81)=0,"",C81*$Q$2+(D81+E81)*$Q$3+G81*$Q$2+(H81+I81)*$Q$3)</x:f>
      </x:c>
      <x:c r="K81" s="61"/>
      <x:c r="L81" s="62" t="str">
        <x:f>IF(J81="","",MAX(J81-IF(K81="",0,K81),0))</x:f>
      </x:c>
      <x:c r="M81" s="59" t="str">
        <x:f>IF(J81="","",IF(K81&gt;=J81,"จ่ายแล้ว",IF(K81&gt;0,"จ่ายบางส่วน","ยังไม่ได้จ่าย")))</x:f>
      </x:c>
      <x:c r="N81" s="22"/>
    </x:row>
    <x:row r="82" ht="21" customHeight="1">
      <x:c r="A82" s="22" t="str">
        <x:v>E13-6</x:v>
      </x:c>
      <x:c r="B82" s="22" t="str">
        <x:v>ภาคตะวันออกเฉียงเหนือ</x:v>
      </x:c>
      <x:c r="C82" s="52"/>
      <x:c r="D82" s="52"/>
      <x:c r="E82" s="52"/>
      <x:c r="F82" s="66"/>
      <x:c r="G82" s="53"/>
      <x:c r="H82" s="53"/>
      <x:c r="I82" s="53"/>
      <x:c r="J82" s="60" t="str">
        <x:f>IF(COUNTA(C82:E82,G82:I82)=0,"",C82*$Q$2+(D82+E82)*$Q$3+G82*$Q$2+(H82+I82)*$Q$3)</x:f>
      </x:c>
      <x:c r="K82" s="61"/>
      <x:c r="L82" s="62" t="str">
        <x:f>IF(J82="","",MAX(J82-IF(K82="",0,K82),0))</x:f>
      </x:c>
      <x:c r="M82" s="59" t="str">
        <x:f>IF(J82="","",IF(K82&gt;=J82,"จ่ายแล้ว",IF(K82&gt;0,"จ่ายบางส่วน","ยังไม่ได้จ่าย")))</x:f>
      </x:c>
      <x:c r="N82" s="22"/>
    </x:row>
    <x:row r="83" ht="21" customHeight="1">
      <x:c r="A83" s="22" t="str">
        <x:v>E14-1</x:v>
      </x:c>
      <x:c r="B83" s="22" t="str">
        <x:v>ภาคตะวันออกเฉียงเหนือ</x:v>
      </x:c>
      <x:c r="C83" s="52"/>
      <x:c r="D83" s="52"/>
      <x:c r="E83" s="52"/>
      <x:c r="F83" s="66"/>
      <x:c r="G83" s="53"/>
      <x:c r="H83" s="53"/>
      <x:c r="I83" s="53"/>
      <x:c r="J83" s="60" t="str">
        <x:f>IF(COUNTA(C83:E83,G83:I83)=0,"",C83*$Q$2+(D83+E83)*$Q$3+G83*$Q$2+(H83+I83)*$Q$3)</x:f>
      </x:c>
      <x:c r="K83" s="61"/>
      <x:c r="L83" s="62" t="str">
        <x:f>IF(J83="","",MAX(J83-IF(K83="",0,K83),0))</x:f>
      </x:c>
      <x:c r="M83" s="59" t="str">
        <x:f>IF(J83="","",IF(K83&gt;=J83,"จ่ายแล้ว",IF(K83&gt;0,"จ่ายบางส่วน","ยังไม่ได้จ่าย")))</x:f>
      </x:c>
      <x:c r="N83" s="22"/>
    </x:row>
    <x:row r="84" ht="21" customHeight="1">
      <x:c r="A84" s="22" t="str">
        <x:v>E14-2</x:v>
      </x:c>
      <x:c r="B84" s="22" t="str">
        <x:v>ภาคตะวันออกเฉียงเหนือ</x:v>
      </x:c>
      <x:c r="C84" s="52"/>
      <x:c r="D84" s="52"/>
      <x:c r="E84" s="52"/>
      <x:c r="F84" s="66"/>
      <x:c r="G84" s="53"/>
      <x:c r="H84" s="53"/>
      <x:c r="I84" s="53"/>
      <x:c r="J84" s="60" t="str">
        <x:f>IF(COUNTA(C84:E84,G84:I84)=0,"",C84*$Q$2+(D84+E84)*$Q$3+G84*$Q$2+(H84+I84)*$Q$3)</x:f>
      </x:c>
      <x:c r="K84" s="61"/>
      <x:c r="L84" s="62" t="str">
        <x:f>IF(J84="","",MAX(J84-IF(K84="",0,K84),0))</x:f>
      </x:c>
      <x:c r="M84" s="59" t="str">
        <x:f>IF(J84="","",IF(K84&gt;=J84,"จ่ายแล้ว",IF(K84&gt;0,"จ่ายบางส่วน","ยังไม่ได้จ่าย")))</x:f>
      </x:c>
      <x:c r="N84" s="22"/>
    </x:row>
    <x:row r="85" ht="21" customHeight="1">
      <x:c r="A85" s="22" t="str">
        <x:v>E14-3</x:v>
      </x:c>
      <x:c r="B85" s="22" t="str">
        <x:v>ภาคตะวันออกเฉียงเหนือ</x:v>
      </x:c>
      <x:c r="C85" s="52"/>
      <x:c r="D85" s="52"/>
      <x:c r="E85" s="52"/>
      <x:c r="F85" s="66"/>
      <x:c r="G85" s="53"/>
      <x:c r="H85" s="53"/>
      <x:c r="I85" s="53"/>
      <x:c r="J85" s="60" t="str">
        <x:f>IF(COUNTA(C85:E85,G85:I85)=0,"",C85*$Q$2+(D85+E85)*$Q$3+G85*$Q$2+(H85+I85)*$Q$3)</x:f>
      </x:c>
      <x:c r="K85" s="61"/>
      <x:c r="L85" s="62" t="str">
        <x:f>IF(J85="","",MAX(J85-IF(K85="",0,K85),0))</x:f>
      </x:c>
      <x:c r="M85" s="59" t="str">
        <x:f>IF(J85="","",IF(K85&gt;=J85,"จ่ายแล้ว",IF(K85&gt;0,"จ่ายบางส่วน","ยังไม่ได้จ่าย")))</x:f>
      </x:c>
      <x:c r="N85" s="22"/>
    </x:row>
    <x:row r="86" ht="21" customHeight="1">
      <x:c r="A86" s="22" t="str">
        <x:v>E14-4</x:v>
      </x:c>
      <x:c r="B86" s="22" t="str">
        <x:v>ภาคตะวันออกเฉียงเหนือ</x:v>
      </x:c>
      <x:c r="C86" s="52"/>
      <x:c r="D86" s="52"/>
      <x:c r="E86" s="52"/>
      <x:c r="F86" s="66"/>
      <x:c r="G86" s="53"/>
      <x:c r="H86" s="53"/>
      <x:c r="I86" s="53"/>
      <x:c r="J86" s="60" t="str">
        <x:f>IF(COUNTA(C86:E86,G86:I86)=0,"",C86*$Q$2+(D86+E86)*$Q$3+G86*$Q$2+(H86+I86)*$Q$3)</x:f>
      </x:c>
      <x:c r="K86" s="61"/>
      <x:c r="L86" s="62" t="str">
        <x:f>IF(J86="","",MAX(J86-IF(K86="",0,K86),0))</x:f>
      </x:c>
      <x:c r="M86" s="59" t="str">
        <x:f>IF(J86="","",IF(K86&gt;=J86,"จ่ายแล้ว",IF(K86&gt;0,"จ่ายบางส่วน","ยังไม่ได้จ่าย")))</x:f>
      </x:c>
      <x:c r="N86" s="22"/>
    </x:row>
    <x:row r="87" ht="21" customHeight="1">
      <x:c r="A87" s="22" t="str">
        <x:v>E14-5</x:v>
      </x:c>
      <x:c r="B87" s="22" t="str">
        <x:v>ภาคตะวันออกเฉียงเหนือ</x:v>
      </x:c>
      <x:c r="C87" s="52"/>
      <x:c r="D87" s="52"/>
      <x:c r="E87" s="52"/>
      <x:c r="F87" s="66"/>
      <x:c r="G87" s="53"/>
      <x:c r="H87" s="53"/>
      <x:c r="I87" s="53"/>
      <x:c r="J87" s="60" t="str">
        <x:f>IF(COUNTA(C87:E87,G87:I87)=0,"",C87*$Q$2+(D87+E87)*$Q$3+G87*$Q$2+(H87+I87)*$Q$3)</x:f>
      </x:c>
      <x:c r="K87" s="61"/>
      <x:c r="L87" s="62" t="str">
        <x:f>IF(J87="","",MAX(J87-IF(K87="",0,K87),0))</x:f>
      </x:c>
      <x:c r="M87" s="59" t="str">
        <x:f>IF(J87="","",IF(K87&gt;=J87,"จ่ายแล้ว",IF(K87&gt;0,"จ่ายบางส่วน","ยังไม่ได้จ่าย")))</x:f>
      </x:c>
      <x:c r="N87" s="22"/>
    </x:row>
    <x:row r="88" ht="21" customHeight="1">
      <x:c r="A88" s="22" t="str">
        <x:v>E14-6</x:v>
      </x:c>
      <x:c r="B88" s="22" t="str">
        <x:v>ภาคตะวันออกเฉียงเหนือ</x:v>
      </x:c>
      <x:c r="C88" s="52"/>
      <x:c r="D88" s="52"/>
      <x:c r="E88" s="52"/>
      <x:c r="F88" s="66"/>
      <x:c r="G88" s="53"/>
      <x:c r="H88" s="53"/>
      <x:c r="I88" s="53"/>
      <x:c r="J88" s="60" t="str">
        <x:f>IF(COUNTA(C88:E88,G88:I88)=0,"",C88*$Q$2+(D88+E88)*$Q$3+G88*$Q$2+(H88+I88)*$Q$3)</x:f>
      </x:c>
      <x:c r="K88" s="61"/>
      <x:c r="L88" s="62" t="str">
        <x:f>IF(J88="","",MAX(J88-IF(K88="",0,K88),0))</x:f>
      </x:c>
      <x:c r="M88" s="59" t="str">
        <x:f>IF(J88="","",IF(K88&gt;=J88,"จ่ายแล้ว",IF(K88&gt;0,"จ่ายบางส่วน","ยังไม่ได้จ่าย")))</x:f>
      </x:c>
      <x:c r="N88" s="22"/>
    </x:row>
    <x:row r="89" ht="21" customHeight="1">
      <x:c r="A89" s="22" t="str">
        <x:v>E15-1</x:v>
      </x:c>
      <x:c r="B89" s="22" t="str">
        <x:v>ภาคตะวันออกเฉียงเหนือ</x:v>
      </x:c>
      <x:c r="C89" s="52"/>
      <x:c r="D89" s="52"/>
      <x:c r="E89" s="52"/>
      <x:c r="F89" s="66"/>
      <x:c r="G89" s="53"/>
      <x:c r="H89" s="53"/>
      <x:c r="I89" s="53"/>
      <x:c r="J89" s="60" t="str">
        <x:f>IF(COUNTA(C89:E89,G89:I89)=0,"",C89*$Q$2+(D89+E89)*$Q$3+G89*$Q$2+(H89+I89)*$Q$3)</x:f>
      </x:c>
      <x:c r="K89" s="61"/>
      <x:c r="L89" s="62" t="str">
        <x:f>IF(J89="","",MAX(J89-IF(K89="",0,K89),0))</x:f>
      </x:c>
      <x:c r="M89" s="59" t="str">
        <x:f>IF(J89="","",IF(K89&gt;=J89,"จ่ายแล้ว",IF(K89&gt;0,"จ่ายบางส่วน","ยังไม่ได้จ่าย")))</x:f>
      </x:c>
      <x:c r="N89" s="22"/>
    </x:row>
    <x:row r="90" ht="21" customHeight="1">
      <x:c r="A90" s="22" t="str">
        <x:v>E15-2</x:v>
      </x:c>
      <x:c r="B90" s="22" t="str">
        <x:v>ภาคตะวันออกเฉียงเหนือ</x:v>
      </x:c>
      <x:c r="C90" s="52"/>
      <x:c r="D90" s="52"/>
      <x:c r="E90" s="52"/>
      <x:c r="F90" s="66"/>
      <x:c r="G90" s="53"/>
      <x:c r="H90" s="53"/>
      <x:c r="I90" s="53"/>
      <x:c r="J90" s="60" t="str">
        <x:f>IF(COUNTA(C90:E90,G90:I90)=0,"",C90*$Q$2+(D90+E90)*$Q$3+G90*$Q$2+(H90+I90)*$Q$3)</x:f>
      </x:c>
      <x:c r="K90" s="61"/>
      <x:c r="L90" s="62" t="str">
        <x:f>IF(J90="","",MAX(J90-IF(K90="",0,K90),0))</x:f>
      </x:c>
      <x:c r="M90" s="59" t="str">
        <x:f>IF(J90="","",IF(K90&gt;=J90,"จ่ายแล้ว",IF(K90&gt;0,"จ่ายบางส่วน","ยังไม่ได้จ่าย")))</x:f>
      </x:c>
      <x:c r="N90" s="22"/>
    </x:row>
    <x:row r="91" ht="21" customHeight="1">
      <x:c r="A91" s="22" t="str">
        <x:v>E15-3</x:v>
      </x:c>
      <x:c r="B91" s="22" t="str">
        <x:v>ภาคตะวันออกเฉียงเหนือ</x:v>
      </x:c>
      <x:c r="C91" s="52"/>
      <x:c r="D91" s="52"/>
      <x:c r="E91" s="52"/>
      <x:c r="F91" s="66"/>
      <x:c r="G91" s="53"/>
      <x:c r="H91" s="53"/>
      <x:c r="I91" s="53"/>
      <x:c r="J91" s="60" t="str">
        <x:f>IF(COUNTA(C91:E91,G91:I91)=0,"",C91*$Q$2+(D91+E91)*$Q$3+G91*$Q$2+(H91+I91)*$Q$3)</x:f>
      </x:c>
      <x:c r="K91" s="61"/>
      <x:c r="L91" s="62" t="str">
        <x:f>IF(J91="","",MAX(J91-IF(K91="",0,K91),0))</x:f>
      </x:c>
      <x:c r="M91" s="59" t="str">
        <x:f>IF(J91="","",IF(K91&gt;=J91,"จ่ายแล้ว",IF(K91&gt;0,"จ่ายบางส่วน","ยังไม่ได้จ่าย")))</x:f>
      </x:c>
      <x:c r="N91" s="22"/>
    </x:row>
    <x:row r="92" ht="21" customHeight="1">
      <x:c r="A92" s="22" t="str">
        <x:v>E15-4</x:v>
      </x:c>
      <x:c r="B92" s="22" t="str">
        <x:v>ภาคตะวันออกเฉียงเหนือ</x:v>
      </x:c>
      <x:c r="C92" s="52"/>
      <x:c r="D92" s="52"/>
      <x:c r="E92" s="52"/>
      <x:c r="F92" s="66"/>
      <x:c r="G92" s="53"/>
      <x:c r="H92" s="53"/>
      <x:c r="I92" s="53"/>
      <x:c r="J92" s="60" t="str">
        <x:f>IF(COUNTA(C92:E92,G92:I92)=0,"",C92*$Q$2+(D92+E92)*$Q$3+G92*$Q$2+(H92+I92)*$Q$3)</x:f>
      </x:c>
      <x:c r="K92" s="61"/>
      <x:c r="L92" s="62" t="str">
        <x:f>IF(J92="","",MAX(J92-IF(K92="",0,K92),0))</x:f>
      </x:c>
      <x:c r="M92" s="59" t="str">
        <x:f>IF(J92="","",IF(K92&gt;=J92,"จ่ายแล้ว",IF(K92&gt;0,"จ่ายบางส่วน","ยังไม่ได้จ่าย")))</x:f>
      </x:c>
      <x:c r="N92" s="22"/>
    </x:row>
    <x:row r="93" ht="21" customHeight="1">
      <x:c r="A93" s="22" t="str">
        <x:v>E15-5</x:v>
      </x:c>
      <x:c r="B93" s="22" t="str">
        <x:v>ภาคตะวันออกเฉียงเหนือ</x:v>
      </x:c>
      <x:c r="C93" s="52"/>
      <x:c r="D93" s="52"/>
      <x:c r="E93" s="52"/>
      <x:c r="F93" s="66"/>
      <x:c r="G93" s="53"/>
      <x:c r="H93" s="53"/>
      <x:c r="I93" s="53"/>
      <x:c r="J93" s="60" t="str">
        <x:f>IF(COUNTA(C93:E93,G93:I93)=0,"",C93*$Q$2+(D93+E93)*$Q$3+G93*$Q$2+(H93+I93)*$Q$3)</x:f>
      </x:c>
      <x:c r="K93" s="61"/>
      <x:c r="L93" s="62" t="str">
        <x:f>IF(J93="","",MAX(J93-IF(K93="",0,K93),0))</x:f>
      </x:c>
      <x:c r="M93" s="59" t="str">
        <x:f>IF(J93="","",IF(K93&gt;=J93,"จ่ายแล้ว",IF(K93&gt;0,"จ่ายบางส่วน","ยังไม่ได้จ่าย")))</x:f>
      </x:c>
      <x:c r="N93" s="22"/>
    </x:row>
    <x:row r="94" ht="21" customHeight="1">
      <x:c r="A94" s="22" t="str">
        <x:v>E15-6</x:v>
      </x:c>
      <x:c r="B94" s="22" t="str">
        <x:v>ภาคตะวันออกเฉียงเหนือ</x:v>
      </x:c>
      <x:c r="C94" s="52"/>
      <x:c r="D94" s="52"/>
      <x:c r="E94" s="52"/>
      <x:c r="F94" s="66"/>
      <x:c r="G94" s="53"/>
      <x:c r="H94" s="53"/>
      <x:c r="I94" s="53"/>
      <x:c r="J94" s="60" t="str">
        <x:f>IF(COUNTA(C94:E94,G94:I94)=0,"",C94*$Q$2+(D94+E94)*$Q$3+G94*$Q$2+(H94+I94)*$Q$3)</x:f>
      </x:c>
      <x:c r="K94" s="61"/>
      <x:c r="L94" s="62" t="str">
        <x:f>IF(J94="","",MAX(J94-IF(K94="",0,K94),0))</x:f>
      </x:c>
      <x:c r="M94" s="59" t="str">
        <x:f>IF(J94="","",IF(K94&gt;=J94,"จ่ายแล้ว",IF(K94&gt;0,"จ่ายบางส่วน","ยังไม่ได้จ่าย")))</x:f>
      </x:c>
      <x:c r="N94" s="22"/>
    </x:row>
    <x:row r="95" ht="21" customHeight="1">
      <x:c r="A95" s="22" t="str">
        <x:v>E16-1</x:v>
      </x:c>
      <x:c r="B95" s="22" t="str">
        <x:v>ภาคตะวันออกเฉียงเหนือ</x:v>
      </x:c>
      <x:c r="C95" s="52"/>
      <x:c r="D95" s="52"/>
      <x:c r="E95" s="52"/>
      <x:c r="F95" s="66"/>
      <x:c r="G95" s="53"/>
      <x:c r="H95" s="53"/>
      <x:c r="I95" s="53"/>
      <x:c r="J95" s="60" t="str">
        <x:f>IF(COUNTA(C95:E95,G95:I95)=0,"",C95*$Q$2+(D95+E95)*$Q$3+G95*$Q$2+(H95+I95)*$Q$3)</x:f>
      </x:c>
      <x:c r="K95" s="61"/>
      <x:c r="L95" s="62" t="str">
        <x:f>IF(J95="","",MAX(J95-IF(K95="",0,K95),0))</x:f>
      </x:c>
      <x:c r="M95" s="59" t="str">
        <x:f>IF(J95="","",IF(K95&gt;=J95,"จ่ายแล้ว",IF(K95&gt;0,"จ่ายบางส่วน","ยังไม่ได้จ่าย")))</x:f>
      </x:c>
      <x:c r="N95" s="22"/>
    </x:row>
    <x:row r="96" ht="21" customHeight="1">
      <x:c r="A96" s="22" t="str">
        <x:v>E16-2</x:v>
      </x:c>
      <x:c r="B96" s="22" t="str">
        <x:v>ภาคตะวันออกเฉียงเหนือ</x:v>
      </x:c>
      <x:c r="C96" s="52"/>
      <x:c r="D96" s="52"/>
      <x:c r="E96" s="52"/>
      <x:c r="F96" s="66"/>
      <x:c r="G96" s="53"/>
      <x:c r="H96" s="53"/>
      <x:c r="I96" s="53"/>
      <x:c r="J96" s="60" t="str">
        <x:f>IF(COUNTA(C96:E96,G96:I96)=0,"",C96*$Q$2+(D96+E96)*$Q$3+G96*$Q$2+(H96+I96)*$Q$3)</x:f>
      </x:c>
      <x:c r="K96" s="61"/>
      <x:c r="L96" s="62" t="str">
        <x:f>IF(J96="","",MAX(J96-IF(K96="",0,K96),0))</x:f>
      </x:c>
      <x:c r="M96" s="59" t="str">
        <x:f>IF(J96="","",IF(K96&gt;=J96,"จ่ายแล้ว",IF(K96&gt;0,"จ่ายบางส่วน","ยังไม่ได้จ่าย")))</x:f>
      </x:c>
      <x:c r="N96" s="22"/>
    </x:row>
    <x:row r="97" ht="21" customHeight="1">
      <x:c r="A97" s="22" t="str">
        <x:v>E16-3</x:v>
      </x:c>
      <x:c r="B97" s="22" t="str">
        <x:v>ภาคตะวันออกเฉียงเหนือ</x:v>
      </x:c>
      <x:c r="C97" s="52"/>
      <x:c r="D97" s="52"/>
      <x:c r="E97" s="52"/>
      <x:c r="F97" s="66"/>
      <x:c r="G97" s="53"/>
      <x:c r="H97" s="53"/>
      <x:c r="I97" s="53"/>
      <x:c r="J97" s="60" t="str">
        <x:f>IF(COUNTA(C97:E97,G97:I97)=0,"",C97*$Q$2+(D97+E97)*$Q$3+G97*$Q$2+(H97+I97)*$Q$3)</x:f>
      </x:c>
      <x:c r="K97" s="61"/>
      <x:c r="L97" s="62" t="str">
        <x:f>IF(J97="","",MAX(J97-IF(K97="",0,K97),0))</x:f>
      </x:c>
      <x:c r="M97" s="59" t="str">
        <x:f>IF(J97="","",IF(K97&gt;=J97,"จ่ายแล้ว",IF(K97&gt;0,"จ่ายบางส่วน","ยังไม่ได้จ่าย")))</x:f>
      </x:c>
      <x:c r="N97" s="22"/>
    </x:row>
    <x:row r="98" ht="21" customHeight="1">
      <x:c r="A98" s="22" t="str">
        <x:v>E16-4</x:v>
      </x:c>
      <x:c r="B98" s="22" t="str">
        <x:v>ภาคตะวันออกเฉียงเหนือ</x:v>
      </x:c>
      <x:c r="C98" s="52"/>
      <x:c r="D98" s="52"/>
      <x:c r="E98" s="52"/>
      <x:c r="F98" s="66"/>
      <x:c r="G98" s="53"/>
      <x:c r="H98" s="53"/>
      <x:c r="I98" s="53"/>
      <x:c r="J98" s="60" t="str">
        <x:f>IF(COUNTA(C98:E98,G98:I98)=0,"",C98*$Q$2+(D98+E98)*$Q$3+G98*$Q$2+(H98+I98)*$Q$3)</x:f>
      </x:c>
      <x:c r="K98" s="61"/>
      <x:c r="L98" s="62" t="str">
        <x:f>IF(J98="","",MAX(J98-IF(K98="",0,K98),0))</x:f>
      </x:c>
      <x:c r="M98" s="59" t="str">
        <x:f>IF(J98="","",IF(K98&gt;=J98,"จ่ายแล้ว",IF(K98&gt;0,"จ่ายบางส่วน","ยังไม่ได้จ่าย")))</x:f>
      </x:c>
      <x:c r="N98" s="22"/>
    </x:row>
    <x:row r="99" ht="21" customHeight="1">
      <x:c r="A99" s="22" t="str">
        <x:v>E16-5</x:v>
      </x:c>
      <x:c r="B99" s="22" t="str">
        <x:v>ภาคตะวันออกเฉียงเหนือ</x:v>
      </x:c>
      <x:c r="C99" s="52"/>
      <x:c r="D99" s="52"/>
      <x:c r="E99" s="52"/>
      <x:c r="F99" s="66"/>
      <x:c r="G99" s="53"/>
      <x:c r="H99" s="53"/>
      <x:c r="I99" s="53"/>
      <x:c r="J99" s="60" t="str">
        <x:f>IF(COUNTA(C99:E99,G99:I99)=0,"",C99*$Q$2+(D99+E99)*$Q$3+G99*$Q$2+(H99+I99)*$Q$3)</x:f>
      </x:c>
      <x:c r="K99" s="61"/>
      <x:c r="L99" s="62" t="str">
        <x:f>IF(J99="","",MAX(J99-IF(K99="",0,K99),0))</x:f>
      </x:c>
      <x:c r="M99" s="59" t="str">
        <x:f>IF(J99="","",IF(K99&gt;=J99,"จ่ายแล้ว",IF(K99&gt;0,"จ่ายบางส่วน","ยังไม่ได้จ่าย")))</x:f>
      </x:c>
      <x:c r="N99" s="22"/>
    </x:row>
    <x:row r="100" ht="21" customHeight="1">
      <x:c r="A100" s="22" t="str">
        <x:v>E16-6</x:v>
      </x:c>
      <x:c r="B100" s="22" t="str">
        <x:v>ภาคตะวันออกเฉียงเหนือ</x:v>
      </x:c>
      <x:c r="C100" s="52"/>
      <x:c r="D100" s="52"/>
      <x:c r="E100" s="52"/>
      <x:c r="F100" s="66"/>
      <x:c r="G100" s="53"/>
      <x:c r="H100" s="53"/>
      <x:c r="I100" s="53"/>
      <x:c r="J100" s="60" t="str">
        <x:f>IF(COUNTA(C100:E100,G100:I100)=0,"",C100*$Q$2+(D100+E100)*$Q$3+G100*$Q$2+(H100+I100)*$Q$3)</x:f>
      </x:c>
      <x:c r="K100" s="61"/>
      <x:c r="L100" s="62" t="str">
        <x:f>IF(J100="","",MAX(J100-IF(K100="",0,K100),0))</x:f>
      </x:c>
      <x:c r="M100" s="59" t="str">
        <x:f>IF(J100="","",IF(K100&gt;=J100,"จ่ายแล้ว",IF(K100&gt;0,"จ่ายบางส่วน","ยังไม่ได้จ่าย")))</x:f>
      </x:c>
      <x:c r="N100" s="22"/>
    </x:row>
    <x:row r="101" ht="21" customHeight="1">
      <x:c r="A101" s="22" t="str">
        <x:v>E17-1</x:v>
      </x:c>
      <x:c r="B101" s="22" t="str">
        <x:v>ภาคตะวันออกเฉียงเหนือ</x:v>
      </x:c>
      <x:c r="C101" s="52"/>
      <x:c r="D101" s="52"/>
      <x:c r="E101" s="52"/>
      <x:c r="F101" s="66"/>
      <x:c r="G101" s="53"/>
      <x:c r="H101" s="53"/>
      <x:c r="I101" s="53"/>
      <x:c r="J101" s="60" t="str">
        <x:f>IF(COUNTA(C101:E101,G101:I101)=0,"",C101*$Q$2+(D101+E101)*$Q$3+G101*$Q$2+(H101+I101)*$Q$3)</x:f>
      </x:c>
      <x:c r="K101" s="61"/>
      <x:c r="L101" s="62" t="str">
        <x:f>IF(J101="","",MAX(J101-IF(K101="",0,K101),0))</x:f>
      </x:c>
      <x:c r="M101" s="59" t="str">
        <x:f>IF(J101="","",IF(K101&gt;=J101,"จ่ายแล้ว",IF(K101&gt;0,"จ่ายบางส่วน","ยังไม่ได้จ่าย")))</x:f>
      </x:c>
      <x:c r="N101" s="22"/>
    </x:row>
    <x:row r="102" ht="21" customHeight="1">
      <x:c r="A102" s="22" t="str">
        <x:v>E17-2</x:v>
      </x:c>
      <x:c r="B102" s="22" t="str">
        <x:v>ภาคตะวันออกเฉียงเหนือ</x:v>
      </x:c>
      <x:c r="C102" s="52"/>
      <x:c r="D102" s="52"/>
      <x:c r="E102" s="52"/>
      <x:c r="F102" s="66"/>
      <x:c r="G102" s="53"/>
      <x:c r="H102" s="53"/>
      <x:c r="I102" s="53"/>
      <x:c r="J102" s="60" t="str">
        <x:f>IF(COUNTA(C102:E102,G102:I102)=0,"",C102*$Q$2+(D102+E102)*$Q$3+G102*$Q$2+(H102+I102)*$Q$3)</x:f>
      </x:c>
      <x:c r="K102" s="61"/>
      <x:c r="L102" s="62" t="str">
        <x:f>IF(J102="","",MAX(J102-IF(K102="",0,K102),0))</x:f>
      </x:c>
      <x:c r="M102" s="59" t="str">
        <x:f>IF(J102="","",IF(K102&gt;=J102,"จ่ายแล้ว",IF(K102&gt;0,"จ่ายบางส่วน","ยังไม่ได้จ่าย")))</x:f>
      </x:c>
      <x:c r="N102" s="22"/>
    </x:row>
    <x:row r="103" ht="21" customHeight="1">
      <x:c r="A103" s="22" t="str">
        <x:v>E17-3</x:v>
      </x:c>
      <x:c r="B103" s="22" t="str">
        <x:v>ภาคตะวันออกเฉียงเหนือ หนองบัว</x:v>
      </x:c>
      <x:c r="C103" s="52" t="n">
        <x:v>1</x:v>
      </x:c>
      <x:c r="D103" s="52" t="n">
        <x:v>2</x:v>
      </x:c>
      <x:c r="E103" s="52"/>
      <x:c r="F103" s="66"/>
      <x:c r="G103" s="53"/>
      <x:c r="H103" s="53"/>
      <x:c r="I103" s="53"/>
      <x:c r="J103" s="60" t="n">
        <x:f>IF(COUNTA(C103:E103,G103:I103)=0,"",C103*$Q$2+(D103+E103)*$Q$3+G103*$Q$2+(H103+I103)*$Q$3)</x:f>
        <x:v>220</x:v>
      </x:c>
      <x:c r="K103" s="61" t="n">
        <x:v>220</x:v>
      </x:c>
      <x:c r="L103" s="62" t="n">
        <x:f>IF(J103="","",MAX(J103-IF(K103="",0,K103),0))</x:f>
        <x:v>0</x:v>
      </x:c>
      <x:c r="M103" s="59" t="str">
        <x:f>IF(J103="","",IF(K103&gt;=J103,"จ่ายแล้ว",IF(K103&gt;0,"จ่ายบางส่วน","ยังไม่ได้จ่าย")))</x:f>
        <x:v>จ่ายแล้ว</x:v>
      </x:c>
      <x:c r="N103" s="22" t="str">
        <x:v>จ่ายแล้ว</x:v>
      </x:c>
    </x:row>
    <x:row r="104" ht="21" customHeight="1">
      <x:c r="A104" s="22" t="str">
        <x:v>E17-4</x:v>
      </x:c>
      <x:c r="B104" s="22" t="str">
        <x:v>ภาคตะวันออกเฉียงเหนือ</x:v>
      </x:c>
      <x:c r="C104" s="52"/>
      <x:c r="D104" s="52"/>
      <x:c r="E104" s="52"/>
      <x:c r="F104" s="66"/>
      <x:c r="G104" s="53"/>
      <x:c r="H104" s="53"/>
      <x:c r="I104" s="53"/>
      <x:c r="J104" s="60" t="str">
        <x:f>IF(COUNTA(C104:E104,G104:I104)=0,"",C104*$Q$2+(D104+E104)*$Q$3+G104*$Q$2+(H104+I104)*$Q$3)</x:f>
      </x:c>
      <x:c r="K104" s="61"/>
      <x:c r="L104" s="62" t="str">
        <x:f>IF(J104="","",MAX(J104-IF(K104="",0,K104),0))</x:f>
      </x:c>
      <x:c r="M104" s="59" t="str">
        <x:f>IF(J104="","",IF(K104&gt;=J104,"จ่ายแล้ว",IF(K104&gt;0,"จ่ายบางส่วน","ยังไม่ได้จ่าย")))</x:f>
      </x:c>
      <x:c r="N104" s="22"/>
    </x:row>
    <x:row r="105" ht="21" customHeight="1">
      <x:c r="A105" s="22" t="str">
        <x:v>E17-5</x:v>
      </x:c>
      <x:c r="B105" s="22" t="str">
        <x:v>ภาคตะวันออกเฉียงเหนือ</x:v>
      </x:c>
      <x:c r="C105" s="52"/>
      <x:c r="D105" s="52"/>
      <x:c r="E105" s="52"/>
      <x:c r="F105" s="66"/>
      <x:c r="G105" s="53"/>
      <x:c r="H105" s="53"/>
      <x:c r="I105" s="53"/>
      <x:c r="J105" s="60" t="str">
        <x:f>IF(COUNTA(C105:E105,G105:I105)=0,"",C105*$Q$2+(D105+E105)*$Q$3+G105*$Q$2+(H105+I105)*$Q$3)</x:f>
      </x:c>
      <x:c r="K105" s="61"/>
      <x:c r="L105" s="62" t="str">
        <x:f>IF(J105="","",MAX(J105-IF(K105="",0,K105),0))</x:f>
      </x:c>
      <x:c r="M105" s="59" t="str">
        <x:f>IF(J105="","",IF(K105&gt;=J105,"จ่ายแล้ว",IF(K105&gt;0,"จ่ายบางส่วน","ยังไม่ได้จ่าย")))</x:f>
      </x:c>
      <x:c r="N105" s="22"/>
    </x:row>
    <x:row r="106" ht="21" customHeight="1">
      <x:c r="A106" s="22" t="str">
        <x:v>E17-6</x:v>
      </x:c>
      <x:c r="B106" s="22" t="str">
        <x:v>ภาคตะวันออกเฉียงเหนือ</x:v>
      </x:c>
      <x:c r="C106" s="52"/>
      <x:c r="D106" s="52"/>
      <x:c r="E106" s="52"/>
      <x:c r="F106" s="66"/>
      <x:c r="G106" s="53"/>
      <x:c r="H106" s="53"/>
      <x:c r="I106" s="53"/>
      <x:c r="J106" s="60" t="str">
        <x:f>IF(COUNTA(C106:E106,G106:I106)=0,"",C106*$Q$2+(D106+E106)*$Q$3+G106*$Q$2+(H106+I106)*$Q$3)</x:f>
      </x:c>
      <x:c r="K106" s="61"/>
      <x:c r="L106" s="62" t="str">
        <x:f>IF(J106="","",MAX(J106-IF(K106="",0,K106),0))</x:f>
      </x:c>
      <x:c r="M106" s="59" t="str">
        <x:f>IF(J106="","",IF(K106&gt;=J106,"จ่ายแล้ว",IF(K106&gt;0,"จ่ายบางส่วน","ยังไม่ได้จ่าย")))</x:f>
      </x:c>
      <x:c r="N106" s="22"/>
    </x:row>
    <x:row r="107" ht="21" customHeight="1">
      <x:c r="A107" s="22" t="str">
        <x:v>E18-1</x:v>
      </x:c>
      <x:c r="B107" s="22" t="str">
        <x:v>ภาคตะวันออกเฉียงเหนือ</x:v>
      </x:c>
      <x:c r="C107" s="52"/>
      <x:c r="D107" s="52"/>
      <x:c r="E107" s="52"/>
      <x:c r="F107" s="66"/>
      <x:c r="G107" s="53"/>
      <x:c r="H107" s="53"/>
      <x:c r="I107" s="53"/>
      <x:c r="J107" s="60" t="str">
        <x:f>IF(COUNTA(C107:E107,G107:I107)=0,"",C107*$Q$2+(D107+E107)*$Q$3+G107*$Q$2+(H107+I107)*$Q$3)</x:f>
      </x:c>
      <x:c r="K107" s="61"/>
      <x:c r="L107" s="62" t="str">
        <x:f>IF(J107="","",MAX(J107-IF(K107="",0,K107),0))</x:f>
      </x:c>
      <x:c r="M107" s="59" t="str">
        <x:f>IF(J107="","",IF(K107&gt;=J107,"จ่ายแล้ว",IF(K107&gt;0,"จ่ายบางส่วน","ยังไม่ได้จ่าย")))</x:f>
      </x:c>
      <x:c r="N107" s="22"/>
    </x:row>
    <x:row r="108" ht="21" customHeight="1">
      <x:c r="A108" s="22" t="str">
        <x:v>E18-2</x:v>
      </x:c>
      <x:c r="B108" s="22" t="str">
        <x:v>ภาคตะวันออกเฉียงเหนือ</x:v>
      </x:c>
      <x:c r="C108" s="52"/>
      <x:c r="D108" s="52"/>
      <x:c r="E108" s="52"/>
      <x:c r="F108" s="66"/>
      <x:c r="G108" s="53"/>
      <x:c r="H108" s="53"/>
      <x:c r="I108" s="53"/>
      <x:c r="J108" s="60" t="str">
        <x:f>IF(COUNTA(C108:E108,G108:I108)=0,"",C108*$Q$2+(D108+E108)*$Q$3+G108*$Q$2+(H108+I108)*$Q$3)</x:f>
      </x:c>
      <x:c r="K108" s="61"/>
      <x:c r="L108" s="62" t="str">
        <x:f>IF(J108="","",MAX(J108-IF(K108="",0,K108),0))</x:f>
      </x:c>
      <x:c r="M108" s="59" t="str">
        <x:f>IF(J108="","",IF(K108&gt;=J108,"จ่ายแล้ว",IF(K108&gt;0,"จ่ายบางส่วน","ยังไม่ได้จ่าย")))</x:f>
      </x:c>
      <x:c r="N108" s="22"/>
    </x:row>
    <x:row r="109" ht="21" customHeight="1">
      <x:c r="A109" s="22" t="str">
        <x:v>E18-3</x:v>
      </x:c>
      <x:c r="B109" s="22" t="str">
        <x:v>ภาคตะวันออกเฉียงเหนือ</x:v>
      </x:c>
      <x:c r="C109" s="52"/>
      <x:c r="D109" s="52"/>
      <x:c r="E109" s="52"/>
      <x:c r="F109" s="66"/>
      <x:c r="G109" s="53"/>
      <x:c r="H109" s="53"/>
      <x:c r="I109" s="53"/>
      <x:c r="J109" s="60" t="str">
        <x:f>IF(COUNTA(C109:E109,G109:I109)=0,"",C109*$Q$2+(D109+E109)*$Q$3+G109*$Q$2+(H109+I109)*$Q$3)</x:f>
      </x:c>
      <x:c r="K109" s="61"/>
      <x:c r="L109" s="62" t="str">
        <x:f>IF(J109="","",MAX(J109-IF(K109="",0,K109),0))</x:f>
      </x:c>
      <x:c r="M109" s="59" t="str">
        <x:f>IF(J109="","",IF(K109&gt;=J109,"จ่ายแล้ว",IF(K109&gt;0,"จ่ายบางส่วน","ยังไม่ได้จ่าย")))</x:f>
      </x:c>
      <x:c r="N109" s="22"/>
    </x:row>
    <x:row r="110" ht="21" customHeight="1">
      <x:c r="A110" s="22" t="str">
        <x:v>E18-4</x:v>
      </x:c>
      <x:c r="B110" s="22" t="str">
        <x:v>ภาคตะวันออกเฉียงเหนือ</x:v>
      </x:c>
      <x:c r="C110" s="52"/>
      <x:c r="D110" s="52"/>
      <x:c r="E110" s="52"/>
      <x:c r="F110" s="66"/>
      <x:c r="G110" s="53"/>
      <x:c r="H110" s="53"/>
      <x:c r="I110" s="53"/>
      <x:c r="J110" s="60" t="str">
        <x:f>IF(COUNTA(C110:E110,G110:I110)=0,"",C110*$Q$2+(D110+E110)*$Q$3+G110*$Q$2+(H110+I110)*$Q$3)</x:f>
      </x:c>
      <x:c r="K110" s="61"/>
      <x:c r="L110" s="62" t="str">
        <x:f>IF(J110="","",MAX(J110-IF(K110="",0,K110),0))</x:f>
      </x:c>
      <x:c r="M110" s="59" t="str">
        <x:f>IF(J110="","",IF(K110&gt;=J110,"จ่ายแล้ว",IF(K110&gt;0,"จ่ายบางส่วน","ยังไม่ได้จ่าย")))</x:f>
      </x:c>
      <x:c r="N110" s="22"/>
    </x:row>
    <x:row r="111" ht="21" customHeight="1">
      <x:c r="A111" s="22" t="str">
        <x:v>E18-5</x:v>
      </x:c>
      <x:c r="B111" s="22" t="str">
        <x:v>ภาคตะวันออกเฉียงเหนือ</x:v>
      </x:c>
      <x:c r="C111" s="52"/>
      <x:c r="D111" s="52"/>
      <x:c r="E111" s="52"/>
      <x:c r="F111" s="66"/>
      <x:c r="G111" s="53"/>
      <x:c r="H111" s="53"/>
      <x:c r="I111" s="53"/>
      <x:c r="J111" s="60" t="str">
        <x:f>IF(COUNTA(C111:E111,G111:I111)=0,"",C111*$Q$2+(D111+E111)*$Q$3+G111*$Q$2+(H111+I111)*$Q$3)</x:f>
      </x:c>
      <x:c r="K111" s="61"/>
      <x:c r="L111" s="62" t="str">
        <x:f>IF(J111="","",MAX(J111-IF(K111="",0,K111),0))</x:f>
      </x:c>
      <x:c r="M111" s="59" t="str">
        <x:f>IF(J111="","",IF(K111&gt;=J111,"จ่ายแล้ว",IF(K111&gt;0,"จ่ายบางส่วน","ยังไม่ได้จ่าย")))</x:f>
      </x:c>
      <x:c r="N111" s="22"/>
    </x:row>
    <x:row r="112" ht="21" customHeight="1">
      <x:c r="A112" s="22" t="str">
        <x:v>E18-6</x:v>
      </x:c>
      <x:c r="B112" s="22" t="str">
        <x:v>ภาคตะวันออกเฉียงเหนือ</x:v>
      </x:c>
      <x:c r="C112" s="52"/>
      <x:c r="D112" s="52"/>
      <x:c r="E112" s="52"/>
      <x:c r="F112" s="66"/>
      <x:c r="G112" s="53"/>
      <x:c r="H112" s="53"/>
      <x:c r="I112" s="53"/>
      <x:c r="J112" s="60" t="str">
        <x:f>IF(COUNTA(C112:E112,G112:I112)=0,"",C112*$Q$2+(D112+E112)*$Q$3+G112*$Q$2+(H112+I112)*$Q$3)</x:f>
      </x:c>
      <x:c r="K112" s="61"/>
      <x:c r="L112" s="62" t="str">
        <x:f>IF(J112="","",MAX(J112-IF(K112="",0,K112),0))</x:f>
      </x:c>
      <x:c r="M112" s="59" t="str">
        <x:f>IF(J112="","",IF(K112&gt;=J112,"จ่ายแล้ว",IF(K112&gt;0,"จ่ายบางส่วน","ยังไม่ได้จ่าย")))</x:f>
      </x:c>
      <x:c r="N112" s="22"/>
    </x:row>
    <x:row r="113" ht="21" customHeight="1">
      <x:c r="A113" s="22" t="str">
        <x:v>E19-1</x:v>
      </x:c>
      <x:c r="B113" s="22" t="str">
        <x:v>ภาคตะวันออกเฉียงเหนือ</x:v>
      </x:c>
      <x:c r="C113" s="52"/>
      <x:c r="D113" s="52"/>
      <x:c r="E113" s="52"/>
      <x:c r="F113" s="66"/>
      <x:c r="G113" s="53"/>
      <x:c r="H113" s="53"/>
      <x:c r="I113" s="53"/>
      <x:c r="J113" s="60" t="str">
        <x:f>IF(COUNTA(C113:E113,G113:I113)=0,"",C113*$Q$2+(D113+E113)*$Q$3+G113*$Q$2+(H113+I113)*$Q$3)</x:f>
      </x:c>
      <x:c r="K113" s="61"/>
      <x:c r="L113" s="62" t="str">
        <x:f>IF(J113="","",MAX(J113-IF(K113="",0,K113),0))</x:f>
      </x:c>
      <x:c r="M113" s="59" t="str">
        <x:f>IF(J113="","",IF(K113&gt;=J113,"จ่ายแล้ว",IF(K113&gt;0,"จ่ายบางส่วน","ยังไม่ได้จ่าย")))</x:f>
      </x:c>
      <x:c r="N113" s="22"/>
    </x:row>
    <x:row r="114" ht="21" customHeight="1">
      <x:c r="A114" s="22" t="str">
        <x:v>E19-2</x:v>
      </x:c>
      <x:c r="B114" s="22" t="str">
        <x:v>ภาคตะวันออกเฉียงเหนือ</x:v>
      </x:c>
      <x:c r="C114" s="52"/>
      <x:c r="D114" s="52"/>
      <x:c r="E114" s="52"/>
      <x:c r="F114" s="66"/>
      <x:c r="G114" s="53"/>
      <x:c r="H114" s="53"/>
      <x:c r="I114" s="53"/>
      <x:c r="J114" s="60" t="str">
        <x:f>IF(COUNTA(C114:E114,G114:I114)=0,"",C114*$Q$2+(D114+E114)*$Q$3+G114*$Q$2+(H114+I114)*$Q$3)</x:f>
      </x:c>
      <x:c r="K114" s="61"/>
      <x:c r="L114" s="62" t="str">
        <x:f>IF(J114="","",MAX(J114-IF(K114="",0,K114),0))</x:f>
      </x:c>
      <x:c r="M114" s="59" t="str">
        <x:f>IF(J114="","",IF(K114&gt;=J114,"จ่ายแล้ว",IF(K114&gt;0,"จ่ายบางส่วน","ยังไม่ได้จ่าย")))</x:f>
      </x:c>
      <x:c r="N114" s="22"/>
    </x:row>
    <x:row r="115" ht="21" customHeight="1">
      <x:c r="A115" s="22" t="str">
        <x:v>E19-3</x:v>
      </x:c>
      <x:c r="B115" s="22" t="str">
        <x:v>ภาคตะวันออกเฉียงเหนือ</x:v>
      </x:c>
      <x:c r="C115" s="52"/>
      <x:c r="D115" s="52"/>
      <x:c r="E115" s="52"/>
      <x:c r="F115" s="66"/>
      <x:c r="G115" s="53"/>
      <x:c r="H115" s="53"/>
      <x:c r="I115" s="53"/>
      <x:c r="J115" s="60" t="str">
        <x:f>IF(COUNTA(C115:E115,G115:I115)=0,"",C115*$Q$2+(D115+E115)*$Q$3+G115*$Q$2+(H115+I115)*$Q$3)</x:f>
      </x:c>
      <x:c r="K115" s="61"/>
      <x:c r="L115" s="62" t="str">
        <x:f>IF(J115="","",MAX(J115-IF(K115="",0,K115),0))</x:f>
      </x:c>
      <x:c r="M115" s="59" t="str">
        <x:f>IF(J115="","",IF(K115&gt;=J115,"จ่ายแล้ว",IF(K115&gt;0,"จ่ายบางส่วน","ยังไม่ได้จ่าย")))</x:f>
      </x:c>
      <x:c r="N115" s="22"/>
    </x:row>
    <x:row r="116" ht="21" customHeight="1">
      <x:c r="A116" s="22" t="str">
        <x:v>E19-4</x:v>
      </x:c>
      <x:c r="B116" s="22" t="str">
        <x:v>ภาคตะวันออกเฉียงเหนือ</x:v>
      </x:c>
      <x:c r="C116" s="52"/>
      <x:c r="D116" s="52"/>
      <x:c r="E116" s="52"/>
      <x:c r="F116" s="66"/>
      <x:c r="G116" s="53"/>
      <x:c r="H116" s="53"/>
      <x:c r="I116" s="53"/>
      <x:c r="J116" s="60" t="str">
        <x:f>IF(COUNTA(C116:E116,G116:I116)=0,"",C116*$Q$2+(D116+E116)*$Q$3+G116*$Q$2+(H116+I116)*$Q$3)</x:f>
      </x:c>
      <x:c r="K116" s="61"/>
      <x:c r="L116" s="62" t="str">
        <x:f>IF(J116="","",MAX(J116-IF(K116="",0,K116),0))</x:f>
      </x:c>
      <x:c r="M116" s="59" t="str">
        <x:f>IF(J116="","",IF(K116&gt;=J116,"จ่ายแล้ว",IF(K116&gt;0,"จ่ายบางส่วน","ยังไม่ได้จ่าย")))</x:f>
      </x:c>
      <x:c r="N116" s="22"/>
    </x:row>
    <x:row r="117" ht="21" customHeight="1">
      <x:c r="A117" s="22" t="str">
        <x:v>E19-5</x:v>
      </x:c>
      <x:c r="B117" s="22" t="str">
        <x:v>ภาคตะวันออกเฉียงเหนือ</x:v>
      </x:c>
      <x:c r="C117" s="52"/>
      <x:c r="D117" s="52"/>
      <x:c r="E117" s="52"/>
      <x:c r="F117" s="66"/>
      <x:c r="G117" s="53"/>
      <x:c r="H117" s="53"/>
      <x:c r="I117" s="53"/>
      <x:c r="J117" s="60" t="str">
        <x:f>IF(COUNTA(C117:E117,G117:I117)=0,"",C117*$Q$2+(D117+E117)*$Q$3+G117*$Q$2+(H117+I117)*$Q$3)</x:f>
      </x:c>
      <x:c r="K117" s="61"/>
      <x:c r="L117" s="62" t="str">
        <x:f>IF(J117="","",MAX(J117-IF(K117="",0,K117),0))</x:f>
      </x:c>
      <x:c r="M117" s="59" t="str">
        <x:f>IF(J117="","",IF(K117&gt;=J117,"จ่ายแล้ว",IF(K117&gt;0,"จ่ายบางส่วน","ยังไม่ได้จ่าย")))</x:f>
      </x:c>
      <x:c r="N117" s="22"/>
    </x:row>
    <x:row r="118" ht="21" customHeight="1">
      <x:c r="A118" s="22" t="str">
        <x:v>E19-6</x:v>
      </x:c>
      <x:c r="B118" s="22" t="str">
        <x:v>ภาคตะวันออกเฉียงเหนือ</x:v>
      </x:c>
      <x:c r="C118" s="52"/>
      <x:c r="D118" s="52"/>
      <x:c r="E118" s="52"/>
      <x:c r="F118" s="66"/>
      <x:c r="G118" s="53"/>
      <x:c r="H118" s="53"/>
      <x:c r="I118" s="53"/>
      <x:c r="J118" s="60" t="str">
        <x:f>IF(COUNTA(C118:E118,G118:I118)=0,"",C118*$Q$2+(D118+E118)*$Q$3+G118*$Q$2+(H118+I118)*$Q$3)</x:f>
      </x:c>
      <x:c r="K118" s="61"/>
      <x:c r="L118" s="62" t="str">
        <x:f>IF(J118="","",MAX(J118-IF(K118="",0,K118),0))</x:f>
      </x:c>
      <x:c r="M118" s="59" t="str">
        <x:f>IF(J118="","",IF(K118&gt;=J118,"จ่ายแล้ว",IF(K118&gt;0,"จ่ายบางส่วน","ยังไม่ได้จ่าย")))</x:f>
      </x:c>
      <x:c r="N118" s="22"/>
    </x:row>
    <x:row r="119" ht="21" customHeight="1">
      <x:c r="A119" s="22" t="str">
        <x:v>E20-1</x:v>
      </x:c>
      <x:c r="B119" s="22" t="str">
        <x:v>ภาคตะวันออกเฉียงเหนือ</x:v>
      </x:c>
      <x:c r="C119" s="52"/>
      <x:c r="D119" s="52"/>
      <x:c r="E119" s="52"/>
      <x:c r="F119" s="66"/>
      <x:c r="G119" s="53"/>
      <x:c r="H119" s="53"/>
      <x:c r="I119" s="53"/>
      <x:c r="J119" s="60" t="str">
        <x:f>IF(COUNTA(C119:E119,G119:I119)=0,"",C119*$Q$2+(D119+E119)*$Q$3+G119*$Q$2+(H119+I119)*$Q$3)</x:f>
      </x:c>
      <x:c r="K119" s="61"/>
      <x:c r="L119" s="62" t="str">
        <x:f>IF(J119="","",MAX(J119-IF(K119="",0,K119),0))</x:f>
      </x:c>
      <x:c r="M119" s="59" t="str">
        <x:f>IF(J119="","",IF(K119&gt;=J119,"จ่ายแล้ว",IF(K119&gt;0,"จ่ายบางส่วน","ยังไม่ได้จ่าย")))</x:f>
      </x:c>
      <x:c r="N119" s="22"/>
    </x:row>
    <x:row r="120" ht="21" customHeight="1">
      <x:c r="A120" s="22" t="str">
        <x:v>E20-2</x:v>
      </x:c>
      <x:c r="B120" s="22" t="str">
        <x:v>ภาคตะวันออกเฉียงเหนือ</x:v>
      </x:c>
      <x:c r="C120" s="52"/>
      <x:c r="D120" s="52"/>
      <x:c r="E120" s="52"/>
      <x:c r="F120" s="66"/>
      <x:c r="G120" s="53"/>
      <x:c r="H120" s="53"/>
      <x:c r="I120" s="53"/>
      <x:c r="J120" s="60" t="str">
        <x:f>IF(COUNTA(C120:E120,G120:I120)=0,"",C120*$Q$2+(D120+E120)*$Q$3+G120*$Q$2+(H120+I120)*$Q$3)</x:f>
      </x:c>
      <x:c r="K120" s="61"/>
      <x:c r="L120" s="62" t="str">
        <x:f>IF(J120="","",MAX(J120-IF(K120="",0,K120),0))</x:f>
      </x:c>
      <x:c r="M120" s="59" t="str">
        <x:f>IF(J120="","",IF(K120&gt;=J120,"จ่ายแล้ว",IF(K120&gt;0,"จ่ายบางส่วน","ยังไม่ได้จ่าย")))</x:f>
      </x:c>
      <x:c r="N120" s="22"/>
    </x:row>
    <x:row r="121" ht="21" customHeight="1">
      <x:c r="A121" s="22" t="str">
        <x:v>E20-3</x:v>
      </x:c>
      <x:c r="B121" s="22" t="str">
        <x:v>ภาคตะวันออกเฉียงเหนือ</x:v>
      </x:c>
      <x:c r="C121" s="52"/>
      <x:c r="D121" s="52"/>
      <x:c r="E121" s="52"/>
      <x:c r="F121" s="66"/>
      <x:c r="G121" s="53"/>
      <x:c r="H121" s="53"/>
      <x:c r="I121" s="53"/>
      <x:c r="J121" s="60" t="str">
        <x:f>IF(COUNTA(C121:E121,G121:I121)=0,"",C121*$Q$2+(D121+E121)*$Q$3+G121*$Q$2+(H121+I121)*$Q$3)</x:f>
      </x:c>
      <x:c r="K121" s="61"/>
      <x:c r="L121" s="62" t="str">
        <x:f>IF(J121="","",MAX(J121-IF(K121="",0,K121),0))</x:f>
      </x:c>
      <x:c r="M121" s="59" t="str">
        <x:f>IF(J121="","",IF(K121&gt;=J121,"จ่ายแล้ว",IF(K121&gt;0,"จ่ายบางส่วน","ยังไม่ได้จ่าย")))</x:f>
      </x:c>
      <x:c r="N121" s="22"/>
    </x:row>
    <x:row r="122" ht="21" customHeight="1">
      <x:c r="A122" s="22" t="str">
        <x:v>E20-4</x:v>
      </x:c>
      <x:c r="B122" s="22" t="str">
        <x:v>ภาคตะวันออกเฉียงเหนือ</x:v>
      </x:c>
      <x:c r="C122" s="52"/>
      <x:c r="D122" s="52"/>
      <x:c r="E122" s="52"/>
      <x:c r="F122" s="66"/>
      <x:c r="G122" s="53"/>
      <x:c r="H122" s="53"/>
      <x:c r="I122" s="53"/>
      <x:c r="J122" s="60" t="str">
        <x:f>IF(COUNTA(C122:E122,G122:I122)=0,"",C122*$Q$2+(D122+E122)*$Q$3+G122*$Q$2+(H122+I122)*$Q$3)</x:f>
      </x:c>
      <x:c r="K122" s="61"/>
      <x:c r="L122" s="62" t="str">
        <x:f>IF(J122="","",MAX(J122-IF(K122="",0,K122),0))</x:f>
      </x:c>
      <x:c r="M122" s="59" t="str">
        <x:f>IF(J122="","",IF(K122&gt;=J122,"จ่ายแล้ว",IF(K122&gt;0,"จ่ายบางส่วน","ยังไม่ได้จ่าย")))</x:f>
      </x:c>
      <x:c r="N122" s="22"/>
    </x:row>
    <x:row r="123" ht="21" customHeight="1">
      <x:c r="A123" s="22" t="str">
        <x:v>E20-5</x:v>
      </x:c>
      <x:c r="B123" s="22" t="str">
        <x:v>ภาคตะวันออกเฉียงเหนือ</x:v>
      </x:c>
      <x:c r="C123" s="52"/>
      <x:c r="D123" s="52"/>
      <x:c r="E123" s="52"/>
      <x:c r="F123" s="66"/>
      <x:c r="G123" s="53"/>
      <x:c r="H123" s="53"/>
      <x:c r="I123" s="53"/>
      <x:c r="J123" s="60" t="str">
        <x:f>IF(COUNTA(C123:E123,G123:I123)=0,"",C123*$Q$2+(D123+E123)*$Q$3+G123*$Q$2+(H123+I123)*$Q$3)</x:f>
      </x:c>
      <x:c r="K123" s="61"/>
      <x:c r="L123" s="62" t="str">
        <x:f>IF(J123="","",MAX(J123-IF(K123="",0,K123),0))</x:f>
      </x:c>
      <x:c r="M123" s="59" t="str">
        <x:f>IF(J123="","",IF(K123&gt;=J123,"จ่ายแล้ว",IF(K123&gt;0,"จ่ายบางส่วน","ยังไม่ได้จ่าย")))</x:f>
      </x:c>
      <x:c r="N123" s="22"/>
    </x:row>
    <x:row r="124" ht="21" customHeight="1">
      <x:c r="A124" s="22" t="str">
        <x:v>E20-6</x:v>
      </x:c>
      <x:c r="B124" s="22" t="str">
        <x:v>ภาคตะวันออกเฉียงเหนือ</x:v>
      </x:c>
      <x:c r="C124" s="52"/>
      <x:c r="D124" s="52"/>
      <x:c r="E124" s="52"/>
      <x:c r="F124" s="66"/>
      <x:c r="G124" s="53"/>
      <x:c r="H124" s="53"/>
      <x:c r="I124" s="53"/>
      <x:c r="J124" s="60" t="str">
        <x:f>IF(COUNTA(C124:E124,G124:I124)=0,"",C124*$Q$2+(D124+E124)*$Q$3+G124*$Q$2+(H124+I124)*$Q$3)</x:f>
      </x:c>
      <x:c r="K124" s="61"/>
      <x:c r="L124" s="62" t="str">
        <x:f>IF(J124="","",MAX(J124-IF(K124="",0,K124),0))</x:f>
      </x:c>
      <x:c r="M124" s="59" t="str">
        <x:f>IF(J124="","",IF(K124&gt;=J124,"จ่ายแล้ว",IF(K124&gt;0,"จ่ายบางส่วน","ยังไม่ได้จ่าย")))</x:f>
      </x:c>
      <x:c r="N124" s="22"/>
    </x:row>
  </x:sheetData>
  <x:mergeCells>
    <x:mergeCell ref="C3:E3"/>
    <x:mergeCell ref="G3:I3"/>
  </x:mergeCells>
  <x:conditionalFormatting sqref="M5:M124">
    <x:cfRule type="containsText" dxfId="16" priority="1" operator="containsText" text="จ่ายแล้ว"/>
    <x:cfRule type="containsText" dxfId="17" priority="2" operator="containsText" text="จ่ายบางส่วน"/>
    <x:cfRule type="containsText" dxfId="18" priority="3" operator="containsText" text="ยังไม่ได้จ่าย"/>
  </x:conditionalFormatting>
  <x:pageMargins left="0.7" right="0.7" top="0.75" bottom="0.75" header="0.3" footer="0.3"/>
  <x:tableParts count="1">
    <x:tablePart xmlns:r="http://schemas.openxmlformats.org/officeDocument/2006/relationships" r:id="R191f239e7e4341ed"/>
  </x:tableParts>
</x:worksheet>
</file>